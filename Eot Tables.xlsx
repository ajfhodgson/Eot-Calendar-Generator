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Google Drive\Sundials\EoT Calendar Generator\"/>
    </mc:Choice>
  </mc:AlternateContent>
  <xr:revisionPtr revIDLastSave="0" documentId="13_ncr:1_{6F89F1AF-8E56-4E06-8234-5CCA5F9DC0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2" sheetId="1" r:id="rId1"/>
    <sheet name="2023" sheetId="5" r:id="rId2"/>
    <sheet name="Data" sheetId="3" state="hidden" r:id="rId3"/>
  </sheets>
  <definedNames>
    <definedName name="_xlnm._FilterDatabase" localSheetId="0" hidden="1">'2022'!#REF!</definedName>
    <definedName name="_xlnm._FilterDatabase" localSheetId="1" hidden="1">'2023'!#REF!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5" l="1"/>
  <c r="L69" i="5"/>
  <c r="I69" i="5"/>
  <c r="H69" i="5"/>
  <c r="E69" i="5"/>
  <c r="D69" i="5"/>
  <c r="C69" i="5"/>
  <c r="B69" i="5"/>
  <c r="M68" i="5"/>
  <c r="L68" i="5"/>
  <c r="K68" i="5"/>
  <c r="J68" i="5"/>
  <c r="I68" i="5"/>
  <c r="H68" i="5"/>
  <c r="G68" i="5"/>
  <c r="F68" i="5"/>
  <c r="E68" i="5"/>
  <c r="D68" i="5"/>
  <c r="C68" i="5"/>
  <c r="B68" i="5"/>
  <c r="M67" i="5"/>
  <c r="L67" i="5"/>
  <c r="K67" i="5"/>
  <c r="J67" i="5"/>
  <c r="I67" i="5"/>
  <c r="H67" i="5"/>
  <c r="G67" i="5"/>
  <c r="F67" i="5"/>
  <c r="E67" i="5"/>
  <c r="D67" i="5"/>
  <c r="C67" i="5"/>
  <c r="B67" i="5"/>
  <c r="M66" i="5"/>
  <c r="L66" i="5"/>
  <c r="K66" i="5"/>
  <c r="J66" i="5"/>
  <c r="I66" i="5"/>
  <c r="H66" i="5"/>
  <c r="G66" i="5"/>
  <c r="F66" i="5"/>
  <c r="E66" i="5"/>
  <c r="D66" i="5"/>
  <c r="C66" i="5"/>
  <c r="B66" i="5"/>
  <c r="M65" i="5"/>
  <c r="L65" i="5"/>
  <c r="K65" i="5"/>
  <c r="J65" i="5"/>
  <c r="I65" i="5"/>
  <c r="H65" i="5"/>
  <c r="G65" i="5"/>
  <c r="F65" i="5"/>
  <c r="E65" i="5"/>
  <c r="D65" i="5"/>
  <c r="C65" i="5"/>
  <c r="B65" i="5"/>
  <c r="M64" i="5"/>
  <c r="L64" i="5"/>
  <c r="K64" i="5"/>
  <c r="J64" i="5"/>
  <c r="I64" i="5"/>
  <c r="H64" i="5"/>
  <c r="G64" i="5"/>
  <c r="F64" i="5"/>
  <c r="E64" i="5"/>
  <c r="D64" i="5"/>
  <c r="C64" i="5"/>
  <c r="B64" i="5"/>
  <c r="M63" i="5"/>
  <c r="L63" i="5"/>
  <c r="K63" i="5"/>
  <c r="J63" i="5"/>
  <c r="I63" i="5"/>
  <c r="H63" i="5"/>
  <c r="G63" i="5"/>
  <c r="F63" i="5"/>
  <c r="E63" i="5"/>
  <c r="D63" i="5"/>
  <c r="C63" i="5"/>
  <c r="B63" i="5"/>
  <c r="M62" i="5"/>
  <c r="L62" i="5"/>
  <c r="K62" i="5"/>
  <c r="J62" i="5"/>
  <c r="I62" i="5"/>
  <c r="H62" i="5"/>
  <c r="G62" i="5"/>
  <c r="F62" i="5"/>
  <c r="E62" i="5"/>
  <c r="D62" i="5"/>
  <c r="C62" i="5"/>
  <c r="B62" i="5"/>
  <c r="M61" i="5"/>
  <c r="L61" i="5"/>
  <c r="K61" i="5"/>
  <c r="J61" i="5"/>
  <c r="I61" i="5"/>
  <c r="H61" i="5"/>
  <c r="G61" i="5"/>
  <c r="F61" i="5"/>
  <c r="E61" i="5"/>
  <c r="D61" i="5"/>
  <c r="C61" i="5"/>
  <c r="B61" i="5"/>
  <c r="M60" i="5"/>
  <c r="L60" i="5"/>
  <c r="K60" i="5"/>
  <c r="J60" i="5"/>
  <c r="I60" i="5"/>
  <c r="H60" i="5"/>
  <c r="G60" i="5"/>
  <c r="F60" i="5"/>
  <c r="E60" i="5"/>
  <c r="D60" i="5"/>
  <c r="C60" i="5"/>
  <c r="B60" i="5"/>
  <c r="M59" i="5"/>
  <c r="L59" i="5"/>
  <c r="K59" i="5"/>
  <c r="J59" i="5"/>
  <c r="I59" i="5"/>
  <c r="H59" i="5"/>
  <c r="G59" i="5"/>
  <c r="F59" i="5"/>
  <c r="E59" i="5"/>
  <c r="D59" i="5"/>
  <c r="C59" i="5"/>
  <c r="B59" i="5"/>
  <c r="M58" i="5"/>
  <c r="L58" i="5"/>
  <c r="K58" i="5"/>
  <c r="J58" i="5"/>
  <c r="I58" i="5"/>
  <c r="H58" i="5"/>
  <c r="G58" i="5"/>
  <c r="F58" i="5"/>
  <c r="E58" i="5"/>
  <c r="D58" i="5"/>
  <c r="C58" i="5"/>
  <c r="B58" i="5"/>
  <c r="M57" i="5"/>
  <c r="L57" i="5"/>
  <c r="K57" i="5"/>
  <c r="J57" i="5"/>
  <c r="I57" i="5"/>
  <c r="H57" i="5"/>
  <c r="G57" i="5"/>
  <c r="F57" i="5"/>
  <c r="E57" i="5"/>
  <c r="D57" i="5"/>
  <c r="C57" i="5"/>
  <c r="B57" i="5"/>
  <c r="M56" i="5"/>
  <c r="L56" i="5"/>
  <c r="K56" i="5"/>
  <c r="J56" i="5"/>
  <c r="I56" i="5"/>
  <c r="H56" i="5"/>
  <c r="G56" i="5"/>
  <c r="F56" i="5"/>
  <c r="E56" i="5"/>
  <c r="D56" i="5"/>
  <c r="C56" i="5"/>
  <c r="B56" i="5"/>
  <c r="M55" i="5"/>
  <c r="L55" i="5"/>
  <c r="K55" i="5"/>
  <c r="J55" i="5"/>
  <c r="I55" i="5"/>
  <c r="H55" i="5"/>
  <c r="G55" i="5"/>
  <c r="F55" i="5"/>
  <c r="E55" i="5"/>
  <c r="D55" i="5"/>
  <c r="C55" i="5"/>
  <c r="B55" i="5"/>
  <c r="M54" i="5"/>
  <c r="L54" i="5"/>
  <c r="K54" i="5"/>
  <c r="J54" i="5"/>
  <c r="I54" i="5"/>
  <c r="H54" i="5"/>
  <c r="G54" i="5"/>
  <c r="F54" i="5"/>
  <c r="E54" i="5"/>
  <c r="D54" i="5"/>
  <c r="C54" i="5"/>
  <c r="B54" i="5"/>
  <c r="M53" i="5"/>
  <c r="L53" i="5"/>
  <c r="K53" i="5"/>
  <c r="J53" i="5"/>
  <c r="I53" i="5"/>
  <c r="H53" i="5"/>
  <c r="G53" i="5"/>
  <c r="F53" i="5"/>
  <c r="E53" i="5"/>
  <c r="D53" i="5"/>
  <c r="C53" i="5"/>
  <c r="B53" i="5"/>
  <c r="M52" i="5"/>
  <c r="L52" i="5"/>
  <c r="K52" i="5"/>
  <c r="J52" i="5"/>
  <c r="I52" i="5"/>
  <c r="H52" i="5"/>
  <c r="G52" i="5"/>
  <c r="F52" i="5"/>
  <c r="E52" i="5"/>
  <c r="D52" i="5"/>
  <c r="C52" i="5"/>
  <c r="B52" i="5"/>
  <c r="M51" i="5"/>
  <c r="L51" i="5"/>
  <c r="K51" i="5"/>
  <c r="J51" i="5"/>
  <c r="I51" i="5"/>
  <c r="H51" i="5"/>
  <c r="G51" i="5"/>
  <c r="F51" i="5"/>
  <c r="E51" i="5"/>
  <c r="D51" i="5"/>
  <c r="C51" i="5"/>
  <c r="B51" i="5"/>
  <c r="M50" i="5"/>
  <c r="L50" i="5"/>
  <c r="K50" i="5"/>
  <c r="J50" i="5"/>
  <c r="I50" i="5"/>
  <c r="H50" i="5"/>
  <c r="G50" i="5"/>
  <c r="F50" i="5"/>
  <c r="E50" i="5"/>
  <c r="D50" i="5"/>
  <c r="C50" i="5"/>
  <c r="B50" i="5"/>
  <c r="M49" i="5"/>
  <c r="L49" i="5"/>
  <c r="K49" i="5"/>
  <c r="J49" i="5"/>
  <c r="I49" i="5"/>
  <c r="H49" i="5"/>
  <c r="G49" i="5"/>
  <c r="F49" i="5"/>
  <c r="E49" i="5"/>
  <c r="D49" i="5"/>
  <c r="C49" i="5"/>
  <c r="B49" i="5"/>
  <c r="M48" i="5"/>
  <c r="L48" i="5"/>
  <c r="K48" i="5"/>
  <c r="J48" i="5"/>
  <c r="I48" i="5"/>
  <c r="H48" i="5"/>
  <c r="G48" i="5"/>
  <c r="F48" i="5"/>
  <c r="E48" i="5"/>
  <c r="D48" i="5"/>
  <c r="C48" i="5"/>
  <c r="B48" i="5"/>
  <c r="M47" i="5"/>
  <c r="L47" i="5"/>
  <c r="K47" i="5"/>
  <c r="J47" i="5"/>
  <c r="I47" i="5"/>
  <c r="H47" i="5"/>
  <c r="G47" i="5"/>
  <c r="F47" i="5"/>
  <c r="E47" i="5"/>
  <c r="D47" i="5"/>
  <c r="C47" i="5"/>
  <c r="B47" i="5"/>
  <c r="M46" i="5"/>
  <c r="L46" i="5"/>
  <c r="K46" i="5"/>
  <c r="J46" i="5"/>
  <c r="I46" i="5"/>
  <c r="H46" i="5"/>
  <c r="G46" i="5"/>
  <c r="F46" i="5"/>
  <c r="E46" i="5"/>
  <c r="D46" i="5"/>
  <c r="C46" i="5"/>
  <c r="B46" i="5"/>
  <c r="M45" i="5"/>
  <c r="L45" i="5"/>
  <c r="K45" i="5"/>
  <c r="J45" i="5"/>
  <c r="I45" i="5"/>
  <c r="H45" i="5"/>
  <c r="G45" i="5"/>
  <c r="F45" i="5"/>
  <c r="E45" i="5"/>
  <c r="D45" i="5"/>
  <c r="C45" i="5"/>
  <c r="B45" i="5"/>
  <c r="M44" i="5"/>
  <c r="L44" i="5"/>
  <c r="K44" i="5"/>
  <c r="J44" i="5"/>
  <c r="I44" i="5"/>
  <c r="H44" i="5"/>
  <c r="G44" i="5"/>
  <c r="F44" i="5"/>
  <c r="E44" i="5"/>
  <c r="D44" i="5"/>
  <c r="C44" i="5"/>
  <c r="B44" i="5"/>
  <c r="M43" i="5"/>
  <c r="L43" i="5"/>
  <c r="K43" i="5"/>
  <c r="J43" i="5"/>
  <c r="I43" i="5"/>
  <c r="H43" i="5"/>
  <c r="G43" i="5"/>
  <c r="F43" i="5"/>
  <c r="E43" i="5"/>
  <c r="D43" i="5"/>
  <c r="C43" i="5"/>
  <c r="B43" i="5"/>
  <c r="M42" i="5"/>
  <c r="L42" i="5"/>
  <c r="K42" i="5"/>
  <c r="J42" i="5"/>
  <c r="I42" i="5"/>
  <c r="H42" i="5"/>
  <c r="G42" i="5"/>
  <c r="F42" i="5"/>
  <c r="E42" i="5"/>
  <c r="D42" i="5"/>
  <c r="C42" i="5"/>
  <c r="B42" i="5"/>
  <c r="M41" i="5"/>
  <c r="L41" i="5"/>
  <c r="K41" i="5"/>
  <c r="J41" i="5"/>
  <c r="I41" i="5"/>
  <c r="H41" i="5"/>
  <c r="G41" i="5"/>
  <c r="F41" i="5"/>
  <c r="E41" i="5"/>
  <c r="D41" i="5"/>
  <c r="C41" i="5"/>
  <c r="B41" i="5"/>
  <c r="M40" i="5"/>
  <c r="L40" i="5"/>
  <c r="K40" i="5"/>
  <c r="J40" i="5"/>
  <c r="I40" i="5"/>
  <c r="H40" i="5"/>
  <c r="G40" i="5"/>
  <c r="F40" i="5"/>
  <c r="E40" i="5"/>
  <c r="D40" i="5"/>
  <c r="C40" i="5"/>
  <c r="B40" i="5"/>
  <c r="M39" i="5"/>
  <c r="L39" i="5"/>
  <c r="K39" i="5"/>
  <c r="J39" i="5"/>
  <c r="I39" i="5"/>
  <c r="H39" i="5"/>
  <c r="G39" i="5"/>
  <c r="F39" i="5"/>
  <c r="E39" i="5"/>
  <c r="D39" i="5"/>
  <c r="C39" i="5"/>
  <c r="B39" i="5"/>
  <c r="K34" i="5"/>
  <c r="J34" i="5"/>
  <c r="G34" i="5"/>
  <c r="F34" i="5"/>
  <c r="C34" i="5"/>
  <c r="B34" i="5"/>
  <c r="M33" i="5"/>
  <c r="L33" i="5"/>
  <c r="K33" i="5"/>
  <c r="J33" i="5"/>
  <c r="I33" i="5"/>
  <c r="H33" i="5"/>
  <c r="G33" i="5"/>
  <c r="F33" i="5"/>
  <c r="C33" i="5"/>
  <c r="B33" i="5"/>
  <c r="M32" i="5"/>
  <c r="L32" i="5"/>
  <c r="K32" i="5"/>
  <c r="J32" i="5"/>
  <c r="I32" i="5"/>
  <c r="H32" i="5"/>
  <c r="G32" i="5"/>
  <c r="F32" i="5"/>
  <c r="C32" i="5"/>
  <c r="B32" i="5"/>
  <c r="M31" i="5"/>
  <c r="L31" i="5"/>
  <c r="K31" i="5"/>
  <c r="J31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L24" i="5"/>
  <c r="K24" i="5"/>
  <c r="J24" i="5"/>
  <c r="I24" i="5"/>
  <c r="H24" i="5"/>
  <c r="G24" i="5"/>
  <c r="F24" i="5"/>
  <c r="E24" i="5"/>
  <c r="D24" i="5"/>
  <c r="C24" i="5"/>
  <c r="B24" i="5"/>
  <c r="M23" i="5"/>
  <c r="L23" i="5"/>
  <c r="K23" i="5"/>
  <c r="J23" i="5"/>
  <c r="I23" i="5"/>
  <c r="H23" i="5"/>
  <c r="G23" i="5"/>
  <c r="F23" i="5"/>
  <c r="E23" i="5"/>
  <c r="D23" i="5"/>
  <c r="C23" i="5"/>
  <c r="B23" i="5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L21" i="5"/>
  <c r="K21" i="5"/>
  <c r="J21" i="5"/>
  <c r="I21" i="5"/>
  <c r="H21" i="5"/>
  <c r="G21" i="5"/>
  <c r="F21" i="5"/>
  <c r="E21" i="5"/>
  <c r="D21" i="5"/>
  <c r="C21" i="5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9" i="5"/>
  <c r="L19" i="5"/>
  <c r="K19" i="5"/>
  <c r="J19" i="5"/>
  <c r="I19" i="5"/>
  <c r="H19" i="5"/>
  <c r="G19" i="5"/>
  <c r="F19" i="5"/>
  <c r="E19" i="5"/>
  <c r="D19" i="5"/>
  <c r="C19" i="5"/>
  <c r="B19" i="5"/>
  <c r="M18" i="5"/>
  <c r="L18" i="5"/>
  <c r="K18" i="5"/>
  <c r="J18" i="5"/>
  <c r="I18" i="5"/>
  <c r="H18" i="5"/>
  <c r="G18" i="5"/>
  <c r="F18" i="5"/>
  <c r="E18" i="5"/>
  <c r="D18" i="5"/>
  <c r="C18" i="5"/>
  <c r="B18" i="5"/>
  <c r="M17" i="5"/>
  <c r="L17" i="5"/>
  <c r="K17" i="5"/>
  <c r="J17" i="5"/>
  <c r="I17" i="5"/>
  <c r="H17" i="5"/>
  <c r="G17" i="5"/>
  <c r="F17" i="5"/>
  <c r="E17" i="5"/>
  <c r="D17" i="5"/>
  <c r="C17" i="5"/>
  <c r="B17" i="5"/>
  <c r="M16" i="5"/>
  <c r="L16" i="5"/>
  <c r="K16" i="5"/>
  <c r="J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M14" i="5"/>
  <c r="L14" i="5"/>
  <c r="K14" i="5"/>
  <c r="J14" i="5"/>
  <c r="I14" i="5"/>
  <c r="H14" i="5"/>
  <c r="G14" i="5"/>
  <c r="F14" i="5"/>
  <c r="E14" i="5"/>
  <c r="D14" i="5"/>
  <c r="C14" i="5"/>
  <c r="B14" i="5"/>
  <c r="M13" i="5"/>
  <c r="L13" i="5"/>
  <c r="K13" i="5"/>
  <c r="J13" i="5"/>
  <c r="I13" i="5"/>
  <c r="H13" i="5"/>
  <c r="G13" i="5"/>
  <c r="F13" i="5"/>
  <c r="E13" i="5"/>
  <c r="D13" i="5"/>
  <c r="C13" i="5"/>
  <c r="B13" i="5"/>
  <c r="M12" i="5"/>
  <c r="L12" i="5"/>
  <c r="K12" i="5"/>
  <c r="J12" i="5"/>
  <c r="I12" i="5"/>
  <c r="H12" i="5"/>
  <c r="G12" i="5"/>
  <c r="F12" i="5"/>
  <c r="E12" i="5"/>
  <c r="D12" i="5"/>
  <c r="C12" i="5"/>
  <c r="B12" i="5"/>
  <c r="M11" i="5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7" i="5"/>
  <c r="L7" i="5"/>
  <c r="K7" i="5"/>
  <c r="J7" i="5"/>
  <c r="I7" i="5"/>
  <c r="H7" i="5"/>
  <c r="G7" i="5"/>
  <c r="F7" i="5"/>
  <c r="E7" i="5"/>
  <c r="D7" i="5"/>
  <c r="C7" i="5"/>
  <c r="B7" i="5"/>
  <c r="M6" i="5"/>
  <c r="L6" i="5"/>
  <c r="K6" i="5"/>
  <c r="J6" i="5"/>
  <c r="I6" i="5"/>
  <c r="H6" i="5"/>
  <c r="G6" i="5"/>
  <c r="F6" i="5"/>
  <c r="E6" i="5"/>
  <c r="D6" i="5"/>
  <c r="C6" i="5"/>
  <c r="B6" i="5"/>
  <c r="M5" i="5"/>
  <c r="L5" i="5"/>
  <c r="K5" i="5"/>
  <c r="J5" i="5"/>
  <c r="I5" i="5"/>
  <c r="H5" i="5"/>
  <c r="G5" i="5"/>
  <c r="F5" i="5"/>
  <c r="E5" i="5"/>
  <c r="D5" i="5"/>
  <c r="C5" i="5"/>
  <c r="B5" i="5"/>
  <c r="M4" i="5"/>
  <c r="L4" i="5"/>
  <c r="K4" i="5"/>
  <c r="J4" i="5"/>
  <c r="I4" i="5"/>
  <c r="H4" i="5"/>
  <c r="G4" i="5"/>
  <c r="F4" i="5"/>
  <c r="E4" i="5"/>
  <c r="D4" i="5"/>
  <c r="C4" i="5"/>
  <c r="B4" i="5"/>
  <c r="B4" i="1"/>
  <c r="M18" i="1" l="1"/>
  <c r="B11" i="1"/>
  <c r="B23" i="1"/>
  <c r="C4" i="1"/>
  <c r="C16" i="1"/>
  <c r="C28" i="1"/>
  <c r="E6" i="1"/>
  <c r="E12" i="1"/>
  <c r="E18" i="1"/>
  <c r="E24" i="1"/>
  <c r="D31" i="1"/>
  <c r="F12" i="1"/>
  <c r="F21" i="1"/>
  <c r="I7" i="1"/>
  <c r="I25" i="1"/>
  <c r="K13" i="1"/>
  <c r="K31" i="1"/>
  <c r="L68" i="1"/>
  <c r="L65" i="1"/>
  <c r="L62" i="1"/>
  <c r="L59" i="1"/>
  <c r="L56" i="1"/>
  <c r="L53" i="1"/>
  <c r="L50" i="1"/>
  <c r="L47" i="1"/>
  <c r="L44" i="1"/>
  <c r="L41" i="1"/>
  <c r="J68" i="1"/>
  <c r="J65" i="1"/>
  <c r="J62" i="1"/>
  <c r="J59" i="1"/>
  <c r="J56" i="1"/>
  <c r="J53" i="1"/>
  <c r="J50" i="1"/>
  <c r="M67" i="1"/>
  <c r="M64" i="1"/>
  <c r="M61" i="1"/>
  <c r="M58" i="1"/>
  <c r="M55" i="1"/>
  <c r="M52" i="1"/>
  <c r="M49" i="1"/>
  <c r="M46" i="1"/>
  <c r="M43" i="1"/>
  <c r="M40" i="1"/>
  <c r="K67" i="1"/>
  <c r="K64" i="1"/>
  <c r="K61" i="1"/>
  <c r="K58" i="1"/>
  <c r="K55" i="1"/>
  <c r="K52" i="1"/>
  <c r="M69" i="1"/>
  <c r="M65" i="1"/>
  <c r="M60" i="1"/>
  <c r="M56" i="1"/>
  <c r="M51" i="1"/>
  <c r="M47" i="1"/>
  <c r="M42" i="1"/>
  <c r="K68" i="1"/>
  <c r="K63" i="1"/>
  <c r="K59" i="1"/>
  <c r="K54" i="1"/>
  <c r="K50" i="1"/>
  <c r="J47" i="1"/>
  <c r="J44" i="1"/>
  <c r="J41" i="1"/>
  <c r="H69" i="1"/>
  <c r="H66" i="1"/>
  <c r="H63" i="1"/>
  <c r="H60" i="1"/>
  <c r="H57" i="1"/>
  <c r="H54" i="1"/>
  <c r="H51" i="1"/>
  <c r="H48" i="1"/>
  <c r="H45" i="1"/>
  <c r="H42" i="1"/>
  <c r="H39" i="1"/>
  <c r="F66" i="1"/>
  <c r="F63" i="1"/>
  <c r="F60" i="1"/>
  <c r="F57" i="1"/>
  <c r="F54" i="1"/>
  <c r="F51" i="1"/>
  <c r="F48" i="1"/>
  <c r="F45" i="1"/>
  <c r="F42" i="1"/>
  <c r="F39" i="1"/>
  <c r="D67" i="1"/>
  <c r="D64" i="1"/>
  <c r="D61" i="1"/>
  <c r="D58" i="1"/>
  <c r="D55" i="1"/>
  <c r="D52" i="1"/>
  <c r="D49" i="1"/>
  <c r="D46" i="1"/>
  <c r="D43" i="1"/>
  <c r="D40" i="1"/>
  <c r="B68" i="1"/>
  <c r="B65" i="1"/>
  <c r="B62" i="1"/>
  <c r="B59" i="1"/>
  <c r="B56" i="1"/>
  <c r="B53" i="1"/>
  <c r="B50" i="1"/>
  <c r="B47" i="1"/>
  <c r="B44" i="1"/>
  <c r="B41" i="1"/>
  <c r="L33" i="1"/>
  <c r="L69" i="1"/>
  <c r="L64" i="1"/>
  <c r="L60" i="1"/>
  <c r="L55" i="1"/>
  <c r="L51" i="1"/>
  <c r="L46" i="1"/>
  <c r="L42" i="1"/>
  <c r="J67" i="1"/>
  <c r="J63" i="1"/>
  <c r="J58" i="1"/>
  <c r="J54" i="1"/>
  <c r="K49" i="1"/>
  <c r="K46" i="1"/>
  <c r="K43" i="1"/>
  <c r="K40" i="1"/>
  <c r="I68" i="1"/>
  <c r="I65" i="1"/>
  <c r="I62" i="1"/>
  <c r="I59" i="1"/>
  <c r="I56" i="1"/>
  <c r="I53" i="1"/>
  <c r="I50" i="1"/>
  <c r="I47" i="1"/>
  <c r="I44" i="1"/>
  <c r="I41" i="1"/>
  <c r="G68" i="1"/>
  <c r="G65" i="1"/>
  <c r="G62" i="1"/>
  <c r="G59" i="1"/>
  <c r="G56" i="1"/>
  <c r="G53" i="1"/>
  <c r="G50" i="1"/>
  <c r="G47" i="1"/>
  <c r="G44" i="1"/>
  <c r="G41" i="1"/>
  <c r="E69" i="1"/>
  <c r="E66" i="1"/>
  <c r="E63" i="1"/>
  <c r="E60" i="1"/>
  <c r="E57" i="1"/>
  <c r="E54" i="1"/>
  <c r="E51" i="1"/>
  <c r="E48" i="1"/>
  <c r="E45" i="1"/>
  <c r="E42" i="1"/>
  <c r="E39" i="1"/>
  <c r="C67" i="1"/>
  <c r="C64" i="1"/>
  <c r="C61" i="1"/>
  <c r="C58" i="1"/>
  <c r="C55" i="1"/>
  <c r="C52" i="1"/>
  <c r="C49" i="1"/>
  <c r="C46" i="1"/>
  <c r="C43" i="1"/>
  <c r="C40" i="1"/>
  <c r="M68" i="1"/>
  <c r="M63" i="1"/>
  <c r="M59" i="1"/>
  <c r="M54" i="1"/>
  <c r="M50" i="1"/>
  <c r="M45" i="1"/>
  <c r="M41" i="1"/>
  <c r="K66" i="1"/>
  <c r="K62" i="1"/>
  <c r="K57" i="1"/>
  <c r="K53" i="1"/>
  <c r="J49" i="1"/>
  <c r="J46" i="1"/>
  <c r="J43" i="1"/>
  <c r="J40" i="1"/>
  <c r="H68" i="1"/>
  <c r="H65" i="1"/>
  <c r="H62" i="1"/>
  <c r="H59" i="1"/>
  <c r="H56" i="1"/>
  <c r="H53" i="1"/>
  <c r="H50" i="1"/>
  <c r="H47" i="1"/>
  <c r="H44" i="1"/>
  <c r="H41" i="1"/>
  <c r="F68" i="1"/>
  <c r="F65" i="1"/>
  <c r="F62" i="1"/>
  <c r="F59" i="1"/>
  <c r="F56" i="1"/>
  <c r="F53" i="1"/>
  <c r="F50" i="1"/>
  <c r="F47" i="1"/>
  <c r="F44" i="1"/>
  <c r="F41" i="1"/>
  <c r="D69" i="1"/>
  <c r="D66" i="1"/>
  <c r="D63" i="1"/>
  <c r="D60" i="1"/>
  <c r="D57" i="1"/>
  <c r="D54" i="1"/>
  <c r="D51" i="1"/>
  <c r="D48" i="1"/>
  <c r="D45" i="1"/>
  <c r="D42" i="1"/>
  <c r="D39" i="1"/>
  <c r="B67" i="1"/>
  <c r="B64" i="1"/>
  <c r="B61" i="1"/>
  <c r="B58" i="1"/>
  <c r="B55" i="1"/>
  <c r="B52" i="1"/>
  <c r="B49" i="1"/>
  <c r="B46" i="1"/>
  <c r="B43" i="1"/>
  <c r="L67" i="1"/>
  <c r="L58" i="1"/>
  <c r="L49" i="1"/>
  <c r="L40" i="1"/>
  <c r="J61" i="1"/>
  <c r="J52" i="1"/>
  <c r="K45" i="1"/>
  <c r="K39" i="1"/>
  <c r="I64" i="1"/>
  <c r="I58" i="1"/>
  <c r="I52" i="1"/>
  <c r="I46" i="1"/>
  <c r="I40" i="1"/>
  <c r="G64" i="1"/>
  <c r="G58" i="1"/>
  <c r="G52" i="1"/>
  <c r="G46" i="1"/>
  <c r="G40" i="1"/>
  <c r="E65" i="1"/>
  <c r="E59" i="1"/>
  <c r="E53" i="1"/>
  <c r="E47" i="1"/>
  <c r="E41" i="1"/>
  <c r="C66" i="1"/>
  <c r="C60" i="1"/>
  <c r="C54" i="1"/>
  <c r="C48" i="1"/>
  <c r="C42" i="1"/>
  <c r="M33" i="1"/>
  <c r="L30" i="1"/>
  <c r="L27" i="1"/>
  <c r="L24" i="1"/>
  <c r="L21" i="1"/>
  <c r="L18" i="1"/>
  <c r="L15" i="1"/>
  <c r="L12" i="1"/>
  <c r="L9" i="1"/>
  <c r="L6" i="1"/>
  <c r="J34" i="1"/>
  <c r="J31" i="1"/>
  <c r="J28" i="1"/>
  <c r="J25" i="1"/>
  <c r="J22" i="1"/>
  <c r="J19" i="1"/>
  <c r="J16" i="1"/>
  <c r="J13" i="1"/>
  <c r="J10" i="1"/>
  <c r="J7" i="1"/>
  <c r="J4" i="1"/>
  <c r="H31" i="1"/>
  <c r="H28" i="1"/>
  <c r="H25" i="1"/>
  <c r="H22" i="1"/>
  <c r="H19" i="1"/>
  <c r="H16" i="1"/>
  <c r="H13" i="1"/>
  <c r="H10" i="1"/>
  <c r="H7" i="1"/>
  <c r="H4" i="1"/>
  <c r="F32" i="1"/>
  <c r="F29" i="1"/>
  <c r="F26" i="1"/>
  <c r="F23" i="1"/>
  <c r="F20" i="1"/>
  <c r="F17" i="1"/>
  <c r="F14" i="1"/>
  <c r="F11" i="1"/>
  <c r="F8" i="1"/>
  <c r="F5" i="1"/>
  <c r="D30" i="1"/>
  <c r="D27" i="1"/>
  <c r="D24" i="1"/>
  <c r="D21" i="1"/>
  <c r="D18" i="1"/>
  <c r="D15" i="1"/>
  <c r="D12" i="1"/>
  <c r="D9" i="1"/>
  <c r="D6" i="1"/>
  <c r="C33" i="1"/>
  <c r="C27" i="1"/>
  <c r="C21" i="1"/>
  <c r="C15" i="1"/>
  <c r="C9" i="1"/>
  <c r="B34" i="1"/>
  <c r="B28" i="1"/>
  <c r="B22" i="1"/>
  <c r="B16" i="1"/>
  <c r="B10" i="1"/>
  <c r="M66" i="1"/>
  <c r="M57" i="1"/>
  <c r="M48" i="1"/>
  <c r="M39" i="1"/>
  <c r="K60" i="1"/>
  <c r="K51" i="1"/>
  <c r="J45" i="1"/>
  <c r="J39" i="1"/>
  <c r="H64" i="1"/>
  <c r="H58" i="1"/>
  <c r="H52" i="1"/>
  <c r="H46" i="1"/>
  <c r="H40" i="1"/>
  <c r="F64" i="1"/>
  <c r="F58" i="1"/>
  <c r="F52" i="1"/>
  <c r="F46" i="1"/>
  <c r="F40" i="1"/>
  <c r="D65" i="1"/>
  <c r="D59" i="1"/>
  <c r="D53" i="1"/>
  <c r="D47" i="1"/>
  <c r="D41" i="1"/>
  <c r="B66" i="1"/>
  <c r="B60" i="1"/>
  <c r="B54" i="1"/>
  <c r="B48" i="1"/>
  <c r="B42" i="1"/>
  <c r="M32" i="1"/>
  <c r="M29" i="1"/>
  <c r="M26" i="1"/>
  <c r="M23" i="1"/>
  <c r="M20" i="1"/>
  <c r="M17" i="1"/>
  <c r="M14" i="1"/>
  <c r="M11" i="1"/>
  <c r="M8" i="1"/>
  <c r="M5" i="1"/>
  <c r="K33" i="1"/>
  <c r="K30" i="1"/>
  <c r="K27" i="1"/>
  <c r="K24" i="1"/>
  <c r="K21" i="1"/>
  <c r="K18" i="1"/>
  <c r="K15" i="1"/>
  <c r="K12" i="1"/>
  <c r="K9" i="1"/>
  <c r="K6" i="1"/>
  <c r="I33" i="1"/>
  <c r="I30" i="1"/>
  <c r="I27" i="1"/>
  <c r="I24" i="1"/>
  <c r="I21" i="1"/>
  <c r="I18" i="1"/>
  <c r="I15" i="1"/>
  <c r="I12" i="1"/>
  <c r="I9" i="1"/>
  <c r="I6" i="1"/>
  <c r="G34" i="1"/>
  <c r="G31" i="1"/>
  <c r="G28" i="1"/>
  <c r="G25" i="1"/>
  <c r="G22" i="1"/>
  <c r="G19" i="1"/>
  <c r="G16" i="1"/>
  <c r="G13" i="1"/>
  <c r="G10" i="1"/>
  <c r="G7" i="1"/>
  <c r="G4" i="1"/>
  <c r="E29" i="1"/>
  <c r="E26" i="1"/>
  <c r="E23" i="1"/>
  <c r="E20" i="1"/>
  <c r="E17" i="1"/>
  <c r="E14" i="1"/>
  <c r="E11" i="1"/>
  <c r="E8" i="1"/>
  <c r="E5" i="1"/>
  <c r="C32" i="1"/>
  <c r="C26" i="1"/>
  <c r="C20" i="1"/>
  <c r="C14" i="1"/>
  <c r="C8" i="1"/>
  <c r="B33" i="1"/>
  <c r="B27" i="1"/>
  <c r="B21" i="1"/>
  <c r="B15" i="1"/>
  <c r="B9" i="1"/>
  <c r="L66" i="1"/>
  <c r="L57" i="1"/>
  <c r="L48" i="1"/>
  <c r="L39" i="1"/>
  <c r="J60" i="1"/>
  <c r="J51" i="1"/>
  <c r="K44" i="1"/>
  <c r="I69" i="1"/>
  <c r="I63" i="1"/>
  <c r="I57" i="1"/>
  <c r="I51" i="1"/>
  <c r="I45" i="1"/>
  <c r="I39" i="1"/>
  <c r="G63" i="1"/>
  <c r="G57" i="1"/>
  <c r="G51" i="1"/>
  <c r="G45" i="1"/>
  <c r="G39" i="1"/>
  <c r="E64" i="1"/>
  <c r="E58" i="1"/>
  <c r="E52" i="1"/>
  <c r="E46" i="1"/>
  <c r="E40" i="1"/>
  <c r="C65" i="1"/>
  <c r="C59" i="1"/>
  <c r="C53" i="1"/>
  <c r="C47" i="1"/>
  <c r="C41" i="1"/>
  <c r="L32" i="1"/>
  <c r="L29" i="1"/>
  <c r="L26" i="1"/>
  <c r="L23" i="1"/>
  <c r="L20" i="1"/>
  <c r="L17" i="1"/>
  <c r="L14" i="1"/>
  <c r="L11" i="1"/>
  <c r="L8" i="1"/>
  <c r="L5" i="1"/>
  <c r="J33" i="1"/>
  <c r="J30" i="1"/>
  <c r="J27" i="1"/>
  <c r="J24" i="1"/>
  <c r="J21" i="1"/>
  <c r="J18" i="1"/>
  <c r="J15" i="1"/>
  <c r="J12" i="1"/>
  <c r="J9" i="1"/>
  <c r="J6" i="1"/>
  <c r="H33" i="1"/>
  <c r="H30" i="1"/>
  <c r="H27" i="1"/>
  <c r="H24" i="1"/>
  <c r="H21" i="1"/>
  <c r="H18" i="1"/>
  <c r="H15" i="1"/>
  <c r="H12" i="1"/>
  <c r="H9" i="1"/>
  <c r="H6" i="1"/>
  <c r="F34" i="1"/>
  <c r="F31" i="1"/>
  <c r="F28" i="1"/>
  <c r="F25" i="1"/>
  <c r="F22" i="1"/>
  <c r="F19" i="1"/>
  <c r="F16" i="1"/>
  <c r="F13" i="1"/>
  <c r="F10" i="1"/>
  <c r="F7" i="1"/>
  <c r="F4" i="1"/>
  <c r="D29" i="1"/>
  <c r="D26" i="1"/>
  <c r="D23" i="1"/>
  <c r="D20" i="1"/>
  <c r="D17" i="1"/>
  <c r="D14" i="1"/>
  <c r="D11" i="1"/>
  <c r="D8" i="1"/>
  <c r="D5" i="1"/>
  <c r="C31" i="1"/>
  <c r="C25" i="1"/>
  <c r="C19" i="1"/>
  <c r="C13" i="1"/>
  <c r="C7" i="1"/>
  <c r="B32" i="1"/>
  <c r="B26" i="1"/>
  <c r="B20" i="1"/>
  <c r="B14" i="1"/>
  <c r="B8" i="1"/>
  <c r="L63" i="1"/>
  <c r="L54" i="1"/>
  <c r="L45" i="1"/>
  <c r="J66" i="1"/>
  <c r="J57" i="1"/>
  <c r="K48" i="1"/>
  <c r="K42" i="1"/>
  <c r="I67" i="1"/>
  <c r="I61" i="1"/>
  <c r="I55" i="1"/>
  <c r="I49" i="1"/>
  <c r="I43" i="1"/>
  <c r="G67" i="1"/>
  <c r="G61" i="1"/>
  <c r="G55" i="1"/>
  <c r="G49" i="1"/>
  <c r="G43" i="1"/>
  <c r="E68" i="1"/>
  <c r="E62" i="1"/>
  <c r="E56" i="1"/>
  <c r="E50" i="1"/>
  <c r="E44" i="1"/>
  <c r="C69" i="1"/>
  <c r="C63" i="1"/>
  <c r="C57" i="1"/>
  <c r="C51" i="1"/>
  <c r="C45" i="1"/>
  <c r="B40" i="1"/>
  <c r="M31" i="1"/>
  <c r="M28" i="1"/>
  <c r="M25" i="1"/>
  <c r="M22" i="1"/>
  <c r="M19" i="1"/>
  <c r="M16" i="1"/>
  <c r="M13" i="1"/>
  <c r="M10" i="1"/>
  <c r="M7" i="1"/>
  <c r="M4" i="1"/>
  <c r="K32" i="1"/>
  <c r="K29" i="1"/>
  <c r="K26" i="1"/>
  <c r="K23" i="1"/>
  <c r="K20" i="1"/>
  <c r="K17" i="1"/>
  <c r="K14" i="1"/>
  <c r="K11" i="1"/>
  <c r="K8" i="1"/>
  <c r="K5" i="1"/>
  <c r="I32" i="1"/>
  <c r="I29" i="1"/>
  <c r="I26" i="1"/>
  <c r="I23" i="1"/>
  <c r="I20" i="1"/>
  <c r="I17" i="1"/>
  <c r="I14" i="1"/>
  <c r="I11" i="1"/>
  <c r="I8" i="1"/>
  <c r="I5" i="1"/>
  <c r="G33" i="1"/>
  <c r="G30" i="1"/>
  <c r="G27" i="1"/>
  <c r="G24" i="1"/>
  <c r="G21" i="1"/>
  <c r="G18" i="1"/>
  <c r="G15" i="1"/>
  <c r="G12" i="1"/>
  <c r="G9" i="1"/>
  <c r="G6" i="1"/>
  <c r="E31" i="1"/>
  <c r="E28" i="1"/>
  <c r="M62" i="1"/>
  <c r="M53" i="1"/>
  <c r="M44" i="1"/>
  <c r="K65" i="1"/>
  <c r="K56" i="1"/>
  <c r="J48" i="1"/>
  <c r="J42" i="1"/>
  <c r="H67" i="1"/>
  <c r="H61" i="1"/>
  <c r="H55" i="1"/>
  <c r="H49" i="1"/>
  <c r="H43" i="1"/>
  <c r="F67" i="1"/>
  <c r="F61" i="1"/>
  <c r="F55" i="1"/>
  <c r="F49" i="1"/>
  <c r="F43" i="1"/>
  <c r="D68" i="1"/>
  <c r="D62" i="1"/>
  <c r="D56" i="1"/>
  <c r="D50" i="1"/>
  <c r="D44" i="1"/>
  <c r="B69" i="1"/>
  <c r="B63" i="1"/>
  <c r="B57" i="1"/>
  <c r="B51" i="1"/>
  <c r="B45" i="1"/>
  <c r="C39" i="1"/>
  <c r="L31" i="1"/>
  <c r="L28" i="1"/>
  <c r="L25" i="1"/>
  <c r="L22" i="1"/>
  <c r="L19" i="1"/>
  <c r="L16" i="1"/>
  <c r="L13" i="1"/>
  <c r="L10" i="1"/>
  <c r="L7" i="1"/>
  <c r="L4" i="1"/>
  <c r="J32" i="1"/>
  <c r="J29" i="1"/>
  <c r="J26" i="1"/>
  <c r="J23" i="1"/>
  <c r="J20" i="1"/>
  <c r="J17" i="1"/>
  <c r="J14" i="1"/>
  <c r="J11" i="1"/>
  <c r="J8" i="1"/>
  <c r="J5" i="1"/>
  <c r="H32" i="1"/>
  <c r="H29" i="1"/>
  <c r="H26" i="1"/>
  <c r="H23" i="1"/>
  <c r="H20" i="1"/>
  <c r="H17" i="1"/>
  <c r="H14" i="1"/>
  <c r="H11" i="1"/>
  <c r="H8" i="1"/>
  <c r="H5" i="1"/>
  <c r="F33" i="1"/>
  <c r="F30" i="1"/>
  <c r="F27" i="1"/>
  <c r="F24" i="1"/>
  <c r="L61" i="1"/>
  <c r="L52" i="1"/>
  <c r="L43" i="1"/>
  <c r="J64" i="1"/>
  <c r="J55" i="1"/>
  <c r="K47" i="1"/>
  <c r="K41" i="1"/>
  <c r="I66" i="1"/>
  <c r="I60" i="1"/>
  <c r="I54" i="1"/>
  <c r="I48" i="1"/>
  <c r="I42" i="1"/>
  <c r="G66" i="1"/>
  <c r="G60" i="1"/>
  <c r="G54" i="1"/>
  <c r="G48" i="1"/>
  <c r="G42" i="1"/>
  <c r="E67" i="1"/>
  <c r="E61" i="1"/>
  <c r="E55" i="1"/>
  <c r="E49" i="1"/>
  <c r="E43" i="1"/>
  <c r="C68" i="1"/>
  <c r="C62" i="1"/>
  <c r="C56" i="1"/>
  <c r="C50" i="1"/>
  <c r="C44" i="1"/>
  <c r="B12" i="1"/>
  <c r="B24" i="1"/>
  <c r="C5" i="1"/>
  <c r="C17" i="1"/>
  <c r="C29" i="1"/>
  <c r="D7" i="1"/>
  <c r="D13" i="1"/>
  <c r="D19" i="1"/>
  <c r="D25" i="1"/>
  <c r="G5" i="1"/>
  <c r="G14" i="1"/>
  <c r="G23" i="1"/>
  <c r="I10" i="1"/>
  <c r="I28" i="1"/>
  <c r="K16" i="1"/>
  <c r="K34" i="1"/>
  <c r="M21" i="1"/>
  <c r="B13" i="1"/>
  <c r="B25" i="1"/>
  <c r="C6" i="1"/>
  <c r="C18" i="1"/>
  <c r="C30" i="1"/>
  <c r="E7" i="1"/>
  <c r="E13" i="1"/>
  <c r="E19" i="1"/>
  <c r="E25" i="1"/>
  <c r="F6" i="1"/>
  <c r="F15" i="1"/>
  <c r="G26" i="1"/>
  <c r="I13" i="1"/>
  <c r="I31" i="1"/>
  <c r="K19" i="1"/>
  <c r="M6" i="1"/>
  <c r="M24" i="1"/>
  <c r="B5" i="1"/>
  <c r="B17" i="1"/>
  <c r="B29" i="1"/>
  <c r="C10" i="1"/>
  <c r="C22" i="1"/>
  <c r="C34" i="1"/>
  <c r="E9" i="1"/>
  <c r="E15" i="1"/>
  <c r="E21" i="1"/>
  <c r="E27" i="1"/>
  <c r="G8" i="1"/>
  <c r="G17" i="1"/>
  <c r="G29" i="1"/>
  <c r="I16" i="1"/>
  <c r="K4" i="1"/>
  <c r="K22" i="1"/>
  <c r="M9" i="1"/>
  <c r="M27" i="1"/>
  <c r="B6" i="1"/>
  <c r="B18" i="1"/>
  <c r="B30" i="1"/>
  <c r="C11" i="1"/>
  <c r="C23" i="1"/>
  <c r="D4" i="1"/>
  <c r="D10" i="1"/>
  <c r="D16" i="1"/>
  <c r="D22" i="1"/>
  <c r="D28" i="1"/>
  <c r="F9" i="1"/>
  <c r="F18" i="1"/>
  <c r="G32" i="1"/>
  <c r="I19" i="1"/>
  <c r="K7" i="1"/>
  <c r="K25" i="1"/>
  <c r="M12" i="1"/>
  <c r="M30" i="1"/>
  <c r="B7" i="1"/>
  <c r="B19" i="1"/>
  <c r="B31" i="1"/>
  <c r="C12" i="1"/>
  <c r="C24" i="1"/>
  <c r="E4" i="1"/>
  <c r="E10" i="1"/>
  <c r="E16" i="1"/>
  <c r="E22" i="1"/>
  <c r="E30" i="1"/>
  <c r="G11" i="1"/>
  <c r="G20" i="1"/>
  <c r="I4" i="1"/>
  <c r="I22" i="1"/>
  <c r="K10" i="1"/>
  <c r="K28" i="1"/>
  <c r="M15" i="1"/>
  <c r="B39" i="1"/>
</calcChain>
</file>

<file path=xl/sharedStrings.xml><?xml version="1.0" encoding="utf-8"?>
<sst xmlns="http://schemas.openxmlformats.org/spreadsheetml/2006/main" count="2247" uniqueCount="2038">
  <si>
    <t>-23° 00' 15.6"</t>
  </si>
  <si>
    <t>-22° 55' 06.2"</t>
  </si>
  <si>
    <t>-22° 49' 29.4"</t>
  </si>
  <si>
    <t>-22° 43' 25.3"</t>
  </si>
  <si>
    <t>-22° 36' 54.1"</t>
  </si>
  <si>
    <t>-22° 29' 56.0"</t>
  </si>
  <si>
    <t>-22° 22' 31.3"</t>
  </si>
  <si>
    <t>-22° 14' 40.1"</t>
  </si>
  <si>
    <t>-22° 06' 22.7"</t>
  </si>
  <si>
    <t>-21° 57' 39.3"</t>
  </si>
  <si>
    <t>-21° 48' 30.3"</t>
  </si>
  <si>
    <t>-21° 38' 55.9"</t>
  </si>
  <si>
    <t>-21° 28' 56.3"</t>
  </si>
  <si>
    <t>-21° 18' 31.8"</t>
  </si>
  <si>
    <t>-21° 07' 42.8"</t>
  </si>
  <si>
    <t>-20° 56' 29.6"</t>
  </si>
  <si>
    <t>-20° 44' 52.5"</t>
  </si>
  <si>
    <t>-20° 32' 51.7"</t>
  </si>
  <si>
    <t>-20° 20' 27.6"</t>
  </si>
  <si>
    <t>-20° 07' 40.6"</t>
  </si>
  <si>
    <t>-19° 54' 31.0"</t>
  </si>
  <si>
    <t>-19° 40' 59.0"</t>
  </si>
  <si>
    <t>-19° 27' 05.1"</t>
  </si>
  <si>
    <t>-19° 12' 49.7"</t>
  </si>
  <si>
    <t>-18° 58' 12.9"</t>
  </si>
  <si>
    <t>-18° 43' 15.3"</t>
  </si>
  <si>
    <t>-18° 27' 57.2"</t>
  </si>
  <si>
    <t>-18° 12' 18.9"</t>
  </si>
  <si>
    <t>-17° 56' 20.9"</t>
  </si>
  <si>
    <t>-17° 40' 03.6"</t>
  </si>
  <si>
    <t>-17° 23' 27.2"</t>
  </si>
  <si>
    <t>-17° 06' 32.4"</t>
  </si>
  <si>
    <t>-16° 49' 19.5"</t>
  </si>
  <si>
    <t>-16° 31' 48.9"</t>
  </si>
  <si>
    <t>-16° 14' 01.0"</t>
  </si>
  <si>
    <t>-15° 55' 56.4"</t>
  </si>
  <si>
    <t>-15° 37' 35.3"</t>
  </si>
  <si>
    <t>-15° 18' 58.3"</t>
  </si>
  <si>
    <t>-15° 00' 05.8"</t>
  </si>
  <si>
    <t>-14° 40' 58.2"</t>
  </si>
  <si>
    <t>-14° 21' 35.9"</t>
  </si>
  <si>
    <t>-14° 01' 59.4"</t>
  </si>
  <si>
    <t>-13° 42' 09.0"</t>
  </si>
  <si>
    <t>-13° 22' 05.2"</t>
  </si>
  <si>
    <t>-13° 01' 48.4"</t>
  </si>
  <si>
    <t>-12° 41' 19.0"</t>
  </si>
  <si>
    <t>-12° 20' 37.4"</t>
  </si>
  <si>
    <t>-11° 59' 44.0"</t>
  </si>
  <si>
    <t>-11° 38' 39.2"</t>
  </si>
  <si>
    <t>-11° 17' 23.3"</t>
  </si>
  <si>
    <t>-10° 55' 56.8"</t>
  </si>
  <si>
    <t>-10° 34' 20.1"</t>
  </si>
  <si>
    <t>-10° 12' 33.5"</t>
  </si>
  <si>
    <t>-09° 50' 37.4"</t>
  </si>
  <si>
    <t>-09° 28' 32.2"</t>
  </si>
  <si>
    <t>-09° 06' 18.4"</t>
  </si>
  <si>
    <t>-08° 43' 56.2"</t>
  </si>
  <si>
    <t>-08° 21' 26.2"</t>
  </si>
  <si>
    <t>-07° 58' 48.7"</t>
  </si>
  <si>
    <t>-07° 36' 04.1"</t>
  </si>
  <si>
    <t>-07° 13' 13.0"</t>
  </si>
  <si>
    <t>-06° 50' 15.6"</t>
  </si>
  <si>
    <t>-06° 27' 12.4"</t>
  </si>
  <si>
    <t>-06° 04' 03.9"</t>
  </si>
  <si>
    <t>-05° 40' 50.4"</t>
  </si>
  <si>
    <t>-05° 17' 32.4"</t>
  </si>
  <si>
    <t>-04° 54' 10.3"</t>
  </si>
  <si>
    <t>-04° 30' 44.4"</t>
  </si>
  <si>
    <t>-04° 07' 15.2"</t>
  </si>
  <si>
    <t>-03° 43' 43.0"</t>
  </si>
  <si>
    <t>-03° 20' 08.3"</t>
  </si>
  <si>
    <t>-02° 56' 31.4"</t>
  </si>
  <si>
    <t>-02° 32' 52.6"</t>
  </si>
  <si>
    <t>-02° 09' 12.4"</t>
  </si>
  <si>
    <t>-01° 45' 31.1"</t>
  </si>
  <si>
    <t>-01° 21' 49.0"</t>
  </si>
  <si>
    <t>-00° 58' 06.5"</t>
  </si>
  <si>
    <t>-00° 34' 24.0"</t>
  </si>
  <si>
    <t>-00° 10' 41.7"</t>
  </si>
  <si>
    <t>+00° 13' 00.0"</t>
  </si>
  <si>
    <t>+00° 36' 40.8"</t>
  </si>
  <si>
    <t>+01° 00' 20.3"</t>
  </si>
  <si>
    <t>+01° 23' 58.2"</t>
  </si>
  <si>
    <t>+01° 47' 34.2"</t>
  </si>
  <si>
    <t>+02° 11' 07.9"</t>
  </si>
  <si>
    <t>+02° 58' 07.0"</t>
  </si>
  <si>
    <t>+03° 21' 31.7"</t>
  </si>
  <si>
    <t>+03° 44' 52.6"</t>
  </si>
  <si>
    <t>+04° 08' 09.3"</t>
  </si>
  <si>
    <t>+04° 31' 21.6"</t>
  </si>
  <si>
    <t>+04° 54' 29.0"</t>
  </si>
  <si>
    <t>+05° 17' 31.1"</t>
  </si>
  <si>
    <t>+05° 40' 27.6"</t>
  </si>
  <si>
    <t>+06° 03' 18.0"</t>
  </si>
  <si>
    <t>+06° 26' 02.1"</t>
  </si>
  <si>
    <t>+06° 48' 39.5"</t>
  </si>
  <si>
    <t>+07° 11' 09.8"</t>
  </si>
  <si>
    <t>+07° 33' 32.6"</t>
  </si>
  <si>
    <t>+07° 55' 47.7"</t>
  </si>
  <si>
    <t>+08° 39' 53.2"</t>
  </si>
  <si>
    <t>+09° 01' 42.9"</t>
  </si>
  <si>
    <t>+09° 23' 23.5"</t>
  </si>
  <si>
    <t>+09° 44' 54.7"</t>
  </si>
  <si>
    <t>+10° 06' 16.2"</t>
  </si>
  <si>
    <t>+10° 27' 27.6"</t>
  </si>
  <si>
    <t>+10° 48' 28.7"</t>
  </si>
  <si>
    <t>+11° 09' 19.2"</t>
  </si>
  <si>
    <t>+11° 29' 58.7"</t>
  </si>
  <si>
    <t>+11° 50' 27.0"</t>
  </si>
  <si>
    <t>+12° 10' 43.7"</t>
  </si>
  <si>
    <t>+12° 30' 48.5"</t>
  </si>
  <si>
    <t>+12° 50' 41.2"</t>
  </si>
  <si>
    <t>+13° 10' 21.3"</t>
  </si>
  <si>
    <t>+13° 29' 48.5"</t>
  </si>
  <si>
    <t>+13° 49' 02.5"</t>
  </si>
  <si>
    <t>+14° 08' 02.9"</t>
  </si>
  <si>
    <t>+14° 26' 49.4"</t>
  </si>
  <si>
    <t>+14° 45' 21.6"</t>
  </si>
  <si>
    <t>+15° 03' 39.2"</t>
  </si>
  <si>
    <t>+15° 21' 41.9"</t>
  </si>
  <si>
    <t>+15° 39' 29.3"</t>
  </si>
  <si>
    <t>+15° 57' 01.1"</t>
  </si>
  <si>
    <t>+16° 14' 16.9"</t>
  </si>
  <si>
    <t>+16° 31' 16.5"</t>
  </si>
  <si>
    <t>+16° 47' 59.5"</t>
  </si>
  <si>
    <t>+17° 20' 34.4"</t>
  </si>
  <si>
    <t>+17° 36' 25.8"</t>
  </si>
  <si>
    <t>+17° 51' 59.5"</t>
  </si>
  <si>
    <t>+18° 07' 15.0"</t>
  </si>
  <si>
    <t>+18° 22' 12.2"</t>
  </si>
  <si>
    <t>+18° 36' 50.8"</t>
  </si>
  <si>
    <t>+18° 51' 10.5"</t>
  </si>
  <si>
    <t>+19° 05' 11.1"</t>
  </si>
  <si>
    <t>+19° 18' 52.3"</t>
  </si>
  <si>
    <t>+19° 32' 13.9"</t>
  </si>
  <si>
    <t>+19° 45' 15.7"</t>
  </si>
  <si>
    <t>+19° 57' 57.4"</t>
  </si>
  <si>
    <t>+20° 10' 18.7"</t>
  </si>
  <si>
    <t>+20° 22' 19.4"</t>
  </si>
  <si>
    <t>+20° 33' 59.3"</t>
  </si>
  <si>
    <t>+20° 45' 18.1"</t>
  </si>
  <si>
    <t>+20° 56' 15.5"</t>
  </si>
  <si>
    <t>+21° 06' 51.4"</t>
  </si>
  <si>
    <t>+21° 17' 05.4"</t>
  </si>
  <si>
    <t>+21° 26' 57.4"</t>
  </si>
  <si>
    <t>+21° 36' 27.1"</t>
  </si>
  <si>
    <t>+21° 45' 34.3"</t>
  </si>
  <si>
    <t>+21° 54' 18.7"</t>
  </si>
  <si>
    <t>+22° 02' 40.3"</t>
  </si>
  <si>
    <t>+22° 10' 38.8"</t>
  </si>
  <si>
    <t>+22° 18' 14.0"</t>
  </si>
  <si>
    <t>+22° 25' 25.7"</t>
  </si>
  <si>
    <t>+22° 32' 13.8"</t>
  </si>
  <si>
    <t>+22° 38' 38.2"</t>
  </si>
  <si>
    <t>+22° 44' 38.7"</t>
  </si>
  <si>
    <t>+22° 50' 15.1"</t>
  </si>
  <si>
    <t>+22° 55' 27.5"</t>
  </si>
  <si>
    <t>+23° 00' 15.6"</t>
  </si>
  <si>
    <t>+23° 04' 39.3"</t>
  </si>
  <si>
    <t>+23° 08' 38.7"</t>
  </si>
  <si>
    <t>+23° 12' 13.6"</t>
  </si>
  <si>
    <t>+23° 15' 24.0"</t>
  </si>
  <si>
    <t>+23° 18' 09.8"</t>
  </si>
  <si>
    <t>+23° 20' 31.0"</t>
  </si>
  <si>
    <t>+23° 22' 27.5"</t>
  </si>
  <si>
    <t>+23° 23' 59.2"</t>
  </si>
  <si>
    <t>+23° 25' 06.3"</t>
  </si>
  <si>
    <t>+23° 25' 48.6"</t>
  </si>
  <si>
    <t>+23° 26' 06.1"</t>
  </si>
  <si>
    <t>+23° 25' 58.9"</t>
  </si>
  <si>
    <t>+23° 25' 26.8"</t>
  </si>
  <si>
    <t>+23° 24' 30.0"</t>
  </si>
  <si>
    <t>+23° 23' 08.4"</t>
  </si>
  <si>
    <t>+23° 21' 22.1"</t>
  </si>
  <si>
    <t>+23° 19' 11.1"</t>
  </si>
  <si>
    <t>+23° 16' 35.5"</t>
  </si>
  <si>
    <t>+23° 13' 35.4"</t>
  </si>
  <si>
    <t>+23° 10' 10.8"</t>
  </si>
  <si>
    <t>+23° 06' 21.8"</t>
  </si>
  <si>
    <t>+23° 02' 08.5"</t>
  </si>
  <si>
    <t>+22° 57' 31.1"</t>
  </si>
  <si>
    <t>+22° 52' 29.6"</t>
  </si>
  <si>
    <t>+22° 47' 04.2"</t>
  </si>
  <si>
    <t>+22° 41' 15.0"</t>
  </si>
  <si>
    <t>+22° 35' 02.2"</t>
  </si>
  <si>
    <t>+22° 28' 26.0"</t>
  </si>
  <si>
    <t>+22° 21' 26.5"</t>
  </si>
  <si>
    <t>+22° 14' 03.9"</t>
  </si>
  <si>
    <t>+22° 06' 18.4"</t>
  </si>
  <si>
    <t>+21° 49' 39.4"</t>
  </si>
  <si>
    <t>+21° 40' 46.2"</t>
  </si>
  <si>
    <t>+21° 21' 53.7"</t>
  </si>
  <si>
    <t>+21° 11' 54.7"</t>
  </si>
  <si>
    <t>+21° 01' 34.1"</t>
  </si>
  <si>
    <t>+20° 39' 49.2"</t>
  </si>
  <si>
    <t>+20° 28' 25.3"</t>
  </si>
  <si>
    <t>+20° 16' 40.8"</t>
  </si>
  <si>
    <t>+20° 04' 35.8"</t>
  </si>
  <si>
    <t>+19° 52' 10.7"</t>
  </si>
  <si>
    <t>+19° 39' 25.6"</t>
  </si>
  <si>
    <t>+19° 26' 21.0"</t>
  </si>
  <si>
    <t>+19° 12' 56.9"</t>
  </si>
  <si>
    <t>+18° 59' 13.8"</t>
  </si>
  <si>
    <t>+18° 45' 11.9"</t>
  </si>
  <si>
    <t>+18° 30' 51.4"</t>
  </si>
  <si>
    <t>+18° 16' 12.8"</t>
  </si>
  <si>
    <t>+18° 01' 16.2"</t>
  </si>
  <si>
    <t>+17° 46' 02.0"</t>
  </si>
  <si>
    <t>+17° 30' 30.5"</t>
  </si>
  <si>
    <t>+17° 14' 42.0"</t>
  </si>
  <si>
    <t>+16° 58' 36.8"</t>
  </si>
  <si>
    <t>+16° 42' 15.3"</t>
  </si>
  <si>
    <t>+16° 25' 37.7"</t>
  </si>
  <si>
    <t>+16° 08' 44.3"</t>
  </si>
  <si>
    <t>+15° 51' 35.5"</t>
  </si>
  <si>
    <t>+15° 34' 11.6"</t>
  </si>
  <si>
    <t>+14° 58' 39.4"</t>
  </si>
  <si>
    <t>+14° 40' 31.7"</t>
  </si>
  <si>
    <t>+14° 22' 10.0"</t>
  </si>
  <si>
    <t>+14° 03' 34.6"</t>
  </si>
  <si>
    <t>+13° 44' 45.8"</t>
  </si>
  <si>
    <t>+13° 06' 29.0"</t>
  </si>
  <si>
    <t>+12° 47' 01.7"</t>
  </si>
  <si>
    <t>+12° 27' 22.1"</t>
  </si>
  <si>
    <t>+11° 47' 27.6"</t>
  </si>
  <si>
    <t>+10° 46' 12.0"</t>
  </si>
  <si>
    <t>+10° 25' 25.8"</t>
  </si>
  <si>
    <t>+10° 04' 29.7"</t>
  </si>
  <si>
    <t>+09° 43' 23.9"</t>
  </si>
  <si>
    <t>+09° 22' 08.9"</t>
  </si>
  <si>
    <t>+08° 39' 12.4"</t>
  </si>
  <si>
    <t>+08° 17' 31.7"</t>
  </si>
  <si>
    <t>+07° 55' 43.0"</t>
  </si>
  <si>
    <t>+07° 11' 43.5"</t>
  </si>
  <si>
    <t>+06° 49' 33.2"</t>
  </si>
  <si>
    <t>+06° 27' 16.4"</t>
  </si>
  <si>
    <t>+06° 04' 53.4"</t>
  </si>
  <si>
    <t>+05° 19' 49.9"</t>
  </si>
  <si>
    <t>+04° 57' 10.0"</t>
  </si>
  <si>
    <t>+04° 11' 35.4"</t>
  </si>
  <si>
    <t>+03° 25' 43.0"</t>
  </si>
  <si>
    <t>+03° 02' 40.9"</t>
  </si>
  <si>
    <t>+02° 39' 35.3"</t>
  </si>
  <si>
    <t>+02° 16' 26.5"</t>
  </si>
  <si>
    <t>+01° 53' 14.8"</t>
  </si>
  <si>
    <t>+01° 30' 00.6"</t>
  </si>
  <si>
    <t>+01° 06' 44.1"</t>
  </si>
  <si>
    <t>+00° 43' 25.8"</t>
  </si>
  <si>
    <t>+00° 20' 06.0"</t>
  </si>
  <si>
    <t>-00° 03' 15.0"</t>
  </si>
  <si>
    <t>-00° 26' 36.8"</t>
  </si>
  <si>
    <t>-01° 13' 21.4"</t>
  </si>
  <si>
    <t>-02° 00' 04.8"</t>
  </si>
  <si>
    <t>-02° 23' 25.2"</t>
  </si>
  <si>
    <t>-02° 46' 44.1"</t>
  </si>
  <si>
    <t>-03° 33' 16.2"</t>
  </si>
  <si>
    <t>-03° 56' 28.6"</t>
  </si>
  <si>
    <t>-04° 19' 38.2"</t>
  </si>
  <si>
    <t>-05° 28' 45.9"</t>
  </si>
  <si>
    <t>-05° 51' 40.4"</t>
  </si>
  <si>
    <t>-06° 14' 30.3"</t>
  </si>
  <si>
    <t>-06° 37' 15.3"</t>
  </si>
  <si>
    <t>-06° 59' 55.0"</t>
  </si>
  <si>
    <t>-07° 44' 57.2"</t>
  </si>
  <si>
    <t>-08° 07' 19.0"</t>
  </si>
  <si>
    <t>-08° 29' 34.1"</t>
  </si>
  <si>
    <t>-09° 13' 42.8"</t>
  </si>
  <si>
    <t>-09° 57' 20.3"</t>
  </si>
  <si>
    <t>-10° 18' 56.4"</t>
  </si>
  <si>
    <t>-10° 40' 23.5"</t>
  </si>
  <si>
    <t>-11° 01' 41.2"</t>
  </si>
  <si>
    <t>-11° 22' 49.1"</t>
  </si>
  <si>
    <t>-11° 43' 46.8"</t>
  </si>
  <si>
    <t>-12° 04' 33.9"</t>
  </si>
  <si>
    <t>-12° 25' 09.9"</t>
  </si>
  <si>
    <t>-12° 45' 34.4"</t>
  </si>
  <si>
    <t>-13° 05' 47.0"</t>
  </si>
  <si>
    <t>-13° 25' 47.2"</t>
  </si>
  <si>
    <t>-13° 45' 34.7"</t>
  </si>
  <si>
    <t>-14° 05' 08.9"</t>
  </si>
  <si>
    <t>-14° 24' 29.6"</t>
  </si>
  <si>
    <t>-14° 43' 36.2"</t>
  </si>
  <si>
    <t>-15° 02' 28.4"</t>
  </si>
  <si>
    <t>-15° 39' 28.1"</t>
  </si>
  <si>
    <t>-15° 57' 34.8"</t>
  </si>
  <si>
    <t>-16° 15' 25.5"</t>
  </si>
  <si>
    <t>-16° 32' 59.9"</t>
  </si>
  <si>
    <t>-16° 50' 17.6"</t>
  </si>
  <si>
    <t>-17° 24' 01.4"</t>
  </si>
  <si>
    <t>-17° 56' 33.8"</t>
  </si>
  <si>
    <t>-18° 12' 22.3"</t>
  </si>
  <si>
    <t>-18° 27' 51.8"</t>
  </si>
  <si>
    <t>-18° 43' 01.8"</t>
  </si>
  <si>
    <t>-18° 57' 52.1"</t>
  </si>
  <si>
    <t>-19° 12' 22.2"</t>
  </si>
  <si>
    <t>-19° 53' 47.6"</t>
  </si>
  <si>
    <t>-20° 06' 53.2"</t>
  </si>
  <si>
    <t>-20° 19' 36.6"</t>
  </si>
  <si>
    <t>-20° 31' 57.6"</t>
  </si>
  <si>
    <t>-20° 43' 55.8"</t>
  </si>
  <si>
    <t>-20° 55' 30.7"</t>
  </si>
  <si>
    <t>-21° 06' 42.1"</t>
  </si>
  <si>
    <t>-21° 17' 29.6"</t>
  </si>
  <si>
    <t>-21° 37' 51.6"</t>
  </si>
  <si>
    <t>-21° 47' 25.6"</t>
  </si>
  <si>
    <t>-21° 56' 34.5"</t>
  </si>
  <si>
    <t>-22° 13' 36.0"</t>
  </si>
  <si>
    <t>-22° 21' 28.1"</t>
  </si>
  <si>
    <t>-22° 28' 54.2"</t>
  </si>
  <si>
    <t>-22° 35' 54.0"</t>
  </si>
  <si>
    <t>-22° 42' 27.3"</t>
  </si>
  <si>
    <t>-22° 48' 33.9"</t>
  </si>
  <si>
    <t>-22° 54' 13.6"</t>
  </si>
  <si>
    <t>-23° 04' 11.7"</t>
  </si>
  <si>
    <t>-23° 08' 29.7"</t>
  </si>
  <si>
    <t>-23° 12' 20.2"</t>
  </si>
  <si>
    <t>-23° 15' 43.0"</t>
  </si>
  <si>
    <t>-23° 21' 05.0"</t>
  </si>
  <si>
    <t>-23° 23' 04.1"</t>
  </si>
  <si>
    <t>-23° 24' 35.0"</t>
  </si>
  <si>
    <t>-23° 25' 37.8"</t>
  </si>
  <si>
    <t>-23° 26' 12.3"</t>
  </si>
  <si>
    <t>-23° 26' 18.6"</t>
  </si>
  <si>
    <t>-23° 25' 56.5"</t>
  </si>
  <si>
    <t>-23° 25' 06.1"</t>
  </si>
  <si>
    <t>-23° 23' 47.4"</t>
  </si>
  <si>
    <t>-23° 22' 00.5"</t>
  </si>
  <si>
    <t>-23° 19' 45.3"</t>
  </si>
  <si>
    <t>-23° 17' 02.0"</t>
  </si>
  <si>
    <t>-23° 13' 50.7"</t>
  </si>
  <si>
    <t>-23° 10' 11.4"</t>
  </si>
  <si>
    <t>-23° 01' 29.4"</t>
  </si>
  <si>
    <t>-22° 56' 27.0"</t>
  </si>
  <si>
    <t>-22° 50' 57.2"</t>
  </si>
  <si>
    <t>-22° 45' 00.2"</t>
  </si>
  <si>
    <t>-22° 38' 36.1"</t>
  </si>
  <si>
    <t>-22° 31' 45.2"</t>
  </si>
  <si>
    <t>-22° 24' 27.6"</t>
  </si>
  <si>
    <t>-22° 16' 43.5"</t>
  </si>
  <si>
    <t>-22° 08' 33.2"</t>
  </si>
  <si>
    <t>-21° 59' 56.9"</t>
  </si>
  <si>
    <t>-21° 41' 27.3"</t>
  </si>
  <si>
    <t>-21° 31' 34.4"</t>
  </si>
  <si>
    <t>-21° 21' 16.6"</t>
  </si>
  <si>
    <t>-21° 10' 34.1"</t>
  </si>
  <si>
    <t>-20° 59' 27.1"</t>
  </si>
  <si>
    <t>-20° 47' 56.1"</t>
  </si>
  <si>
    <t>-20° 36' 01.2"</t>
  </si>
  <si>
    <t>-20° 23' 42.8"</t>
  </si>
  <si>
    <t>-19° 57' 56.9"</t>
  </si>
  <si>
    <t>-19° 44' 30.1"</t>
  </si>
  <si>
    <t>-19° 30' 41.3"</t>
  </si>
  <si>
    <t>-19° 16' 30.8"</t>
  </si>
  <si>
    <t>-19° 01' 59.0"</t>
  </si>
  <si>
    <t>-18° 47' 06.3"</t>
  </si>
  <si>
    <t>-18° 31' 53.1"</t>
  </si>
  <si>
    <t>-18° 00' 26.9"</t>
  </si>
  <si>
    <t>-17° 44' 14.7"</t>
  </si>
  <si>
    <t>-16° 53' 46.3"</t>
  </si>
  <si>
    <t>-16° 36' 20.9"</t>
  </si>
  <si>
    <t>-16° 00' 38.7"</t>
  </si>
  <si>
    <t>-15° 42' 22.7"</t>
  </si>
  <si>
    <t>-15° 23' 50.6"</t>
  </si>
  <si>
    <t>-14° 07' 09.1"</t>
  </si>
  <si>
    <t>-13° 47' 22.5"</t>
  </si>
  <si>
    <t>-13° 07' 08.5"</t>
  </si>
  <si>
    <t>-12° 46' 41.9"</t>
  </si>
  <si>
    <t>-12° 05' 11.7"</t>
  </si>
  <si>
    <t>-11° 44' 08.9"</t>
  </si>
  <si>
    <t>-11° 22' 54.9"</t>
  </si>
  <si>
    <t>-11° 01' 30.1"</t>
  </si>
  <si>
    <t>-10° 39' 55.0"</t>
  </si>
  <si>
    <t>-10° 18' 10.0"</t>
  </si>
  <si>
    <t>-09° 34' 12.1"</t>
  </si>
  <si>
    <t>-09° 12' 00.1"</t>
  </si>
  <si>
    <t>-08° 49' 39.9"</t>
  </si>
  <si>
    <t>-07° 19' 05.7"</t>
  </si>
  <si>
    <t>-05° 46' 52.8"</t>
  </si>
  <si>
    <t>-04° 13' 25.4"</t>
  </si>
  <si>
    <t>-03° 26' 20.9"</t>
  </si>
  <si>
    <t>-03° 02' 44.7"</t>
  </si>
  <si>
    <t>-02° 39' 06.3"</t>
  </si>
  <si>
    <t>-01° 04' 18.5"</t>
  </si>
  <si>
    <t>-00° 40' 34.8"</t>
  </si>
  <si>
    <t>-00° 16' 51.2"</t>
  </si>
  <si>
    <t>+00° 30' 34.2"</t>
  </si>
  <si>
    <t>+01° 17' 54.4"</t>
  </si>
  <si>
    <t>+02° 28' 38.4"</t>
  </si>
  <si>
    <t>+02° 52' 07.2"</t>
  </si>
  <si>
    <t>+03° 15' 32.5"</t>
  </si>
  <si>
    <t>+04° 02' 11.0"</t>
  </si>
  <si>
    <t>+04° 48' 31.2"</t>
  </si>
  <si>
    <t>+05° 11' 33.6"</t>
  </si>
  <si>
    <t>+05° 57' 21.4"</t>
  </si>
  <si>
    <t>+06° 42' 44.3"</t>
  </si>
  <si>
    <t>+07° 05' 15.7"</t>
  </si>
  <si>
    <t>+07° 49' 56.6"</t>
  </si>
  <si>
    <t>+08° 12' 05.5"</t>
  </si>
  <si>
    <t>+08° 34' 06.3"</t>
  </si>
  <si>
    <t>+08° 55' 58.7"</t>
  </si>
  <si>
    <t>+09° 17' 42.3"</t>
  </si>
  <si>
    <t>+10° 00' 41.8"</t>
  </si>
  <si>
    <t>+10° 21' 57.0"</t>
  </si>
  <si>
    <t>+10° 43' 02.0"</t>
  </si>
  <si>
    <t>+11° 24' 40.0"</t>
  </si>
  <si>
    <t>+12° 45' 37.7"</t>
  </si>
  <si>
    <t>+13° 05' 21.3"</t>
  </si>
  <si>
    <t>+13° 24' 51.8"</t>
  </si>
  <si>
    <t>+13° 44' 09.0"</t>
  </si>
  <si>
    <t>+15° 17' 03.5"</t>
  </si>
  <si>
    <t>+15° 52' 28.9"</t>
  </si>
  <si>
    <t>+16° 09' 48.0"</t>
  </si>
  <si>
    <t>+16° 26' 51.0"</t>
  </si>
  <si>
    <t>+17° 00' 07.7"</t>
  </si>
  <si>
    <t>+17° 32' 16.6"</t>
  </si>
  <si>
    <t>+17° 47' 55.0"</t>
  </si>
  <si>
    <t>+18° 47' 27.6"</t>
  </si>
  <si>
    <t>+19° 01' 34.0"</t>
  </si>
  <si>
    <t>+19° 15' 21.2"</t>
  </si>
  <si>
    <t>+19° 28' 48.8"</t>
  </si>
  <si>
    <t>+19° 54' 44.1"</t>
  </si>
  <si>
    <t>+20° 07' 11.3"</t>
  </si>
  <si>
    <t>+20° 31' 03.3"</t>
  </si>
  <si>
    <t>+20° 42' 27.6"</t>
  </si>
  <si>
    <t>+20° 53' 30.5"</t>
  </si>
  <si>
    <t>+21° 04' 11.7"</t>
  </si>
  <si>
    <t>+21° 14' 31.1"</t>
  </si>
  <si>
    <t>+21° 24' 28.3"</t>
  </si>
  <si>
    <t>+21° 34' 03.2"</t>
  </si>
  <si>
    <t>+21° 52' 05.4"</t>
  </si>
  <si>
    <t>+22° 00' 32.3"</t>
  </si>
  <si>
    <t>+22° 08' 36.2"</t>
  </si>
  <si>
    <t>+22° 16' 17.0"</t>
  </si>
  <si>
    <t>+22° 23' 34.4"</t>
  </si>
  <si>
    <t>+22° 30' 28.3"</t>
  </si>
  <si>
    <t>+22° 36' 58.7"</t>
  </si>
  <si>
    <t>+22° 43' 05.3"</t>
  </si>
  <si>
    <t>+22° 48' 48.0"</t>
  </si>
  <si>
    <t>+22° 54' 06.8"</t>
  </si>
  <si>
    <t>+22° 59' 01.5"</t>
  </si>
  <si>
    <t>+23° 03' 31.9"</t>
  </si>
  <si>
    <t>+23° 07' 38.0"</t>
  </si>
  <si>
    <t>+23° 11' 19.7"</t>
  </si>
  <si>
    <t>+23° 14' 36.8"</t>
  </si>
  <si>
    <t>+23° 17' 29.4"</t>
  </si>
  <si>
    <t>+23° 19' 57.2"</t>
  </si>
  <si>
    <t>+23° 22' 00.3"</t>
  </si>
  <si>
    <t>+23° 24' 52.1"</t>
  </si>
  <si>
    <t>+23° 25' 40.8"</t>
  </si>
  <si>
    <t>+23° 26' 04.6"</t>
  </si>
  <si>
    <t>+23° 26' 03.5"</t>
  </si>
  <si>
    <t>+23° 25' 37.6"</t>
  </si>
  <si>
    <t>+23° 24' 46.9"</t>
  </si>
  <si>
    <t>+23° 23' 31.4"</t>
  </si>
  <si>
    <t>+23° 21' 51.2"</t>
  </si>
  <si>
    <t>+23° 19' 46.3"</t>
  </si>
  <si>
    <t>+23° 17' 16.9"</t>
  </si>
  <si>
    <t>+23° 14' 22.9"</t>
  </si>
  <si>
    <t>+23° 11' 04.5"</t>
  </si>
  <si>
    <t>+23° 07' 21.8"</t>
  </si>
  <si>
    <t>+23° 03' 14.8"</t>
  </si>
  <si>
    <t>+22° 58' 43.7"</t>
  </si>
  <si>
    <t>+22° 53' 48.7"</t>
  </si>
  <si>
    <t>+22° 48' 29.7"</t>
  </si>
  <si>
    <t>+22° 42' 47.0"</t>
  </si>
  <si>
    <t>+22° 36' 40.6"</t>
  </si>
  <si>
    <t>+22° 30' 10.8"</t>
  </si>
  <si>
    <t>+22° 23' 17.6"</t>
  </si>
  <si>
    <t>+22° 08' 21.7"</t>
  </si>
  <si>
    <t>+22° 00' 19.3"</t>
  </si>
  <si>
    <t>+21° 51' 54.3"</t>
  </si>
  <si>
    <t>+21° 43' 06.7"</t>
  </si>
  <si>
    <t>+21° 33' 56.9"</t>
  </si>
  <si>
    <t>+21° 24' 24.9"</t>
  </si>
  <si>
    <t>+21° 04' 15.6"</t>
  </si>
  <si>
    <t>+20° 53' 38.7"</t>
  </si>
  <si>
    <t>+20° 19' 42.0"</t>
  </si>
  <si>
    <t>+20° 07' 42.0"</t>
  </si>
  <si>
    <t>+19° 55' 21.8"</t>
  </si>
  <si>
    <t>+19° 42' 41.8"</t>
  </si>
  <si>
    <t>+19° 02' 45.3"</t>
  </si>
  <si>
    <t>+18° 48' 48.6"</t>
  </si>
  <si>
    <t>+18° 34' 33.5"</t>
  </si>
  <si>
    <t>+18° 05' 08.9"</t>
  </si>
  <si>
    <t>+17° 50' 00.0"</t>
  </si>
  <si>
    <t>+17° 34' 33.7"</t>
  </si>
  <si>
    <t>+17° 18' 50.3"</t>
  </si>
  <si>
    <t>+16° 46' 33.2"</t>
  </si>
  <si>
    <t>+16° 30' 00.1"</t>
  </si>
  <si>
    <t>+16° 13' 10.9"</t>
  </si>
  <si>
    <t>+15° 21' 10.3"</t>
  </si>
  <si>
    <t>+15° 03' 20.1"</t>
  </si>
  <si>
    <t>+14° 45' 15.4"</t>
  </si>
  <si>
    <t>+14° 26' 56.5"</t>
  </si>
  <si>
    <t>+14° 08' 23.8"</t>
  </si>
  <si>
    <t>+13° 11' 25.9"</t>
  </si>
  <si>
    <t>+12° 52' 01.1"</t>
  </si>
  <si>
    <t>+11° 32' 23.6"</t>
  </si>
  <si>
    <t>+11° 12' 01.3"</t>
  </si>
  <si>
    <t>+10° 51' 28.5"</t>
  </si>
  <si>
    <t>+10° 09' 52.7"</t>
  </si>
  <si>
    <t>+08° 23' 11.5"</t>
  </si>
  <si>
    <t>+07° 39' 32.4"</t>
  </si>
  <si>
    <t>+06° 33' 08.3"</t>
  </si>
  <si>
    <t>+06° 10' 46.7"</t>
  </si>
  <si>
    <t>+05° 48' 18.8"</t>
  </si>
  <si>
    <t>+04° 17' 31.5"</t>
  </si>
  <si>
    <t>+03° 54' 37.4"</t>
  </si>
  <si>
    <t>+03° 31' 39.1"</t>
  </si>
  <si>
    <t>+03° 08' 36.9"</t>
  </si>
  <si>
    <t>+02° 45' 31.2"</t>
  </si>
  <si>
    <t>+01° 12' 40.5"</t>
  </si>
  <si>
    <t>+00° 49' 22.6"</t>
  </si>
  <si>
    <t>+00° 02' 43.1"</t>
  </si>
  <si>
    <t>-01° 30' 41.4"</t>
  </si>
  <si>
    <t>-02° 17' 21.2"</t>
  </si>
  <si>
    <t>-03° 27' 10.7"</t>
  </si>
  <si>
    <t>-04° 13' 33.3"</t>
  </si>
  <si>
    <t>-06° 31' 20.4"</t>
  </si>
  <si>
    <t>-07° 16' 39.4"</t>
  </si>
  <si>
    <t>-08° 23' 52.8"</t>
  </si>
  <si>
    <t>-09° 08' 07.0"</t>
  </si>
  <si>
    <t>-10° 13' 28.0"</t>
  </si>
  <si>
    <t>-10° 34' 57.3"</t>
  </si>
  <si>
    <t>-10° 56' 17.1"</t>
  </si>
  <si>
    <t>-11° 59' 15.4"</t>
  </si>
  <si>
    <t>-12° 40' 19.7"</t>
  </si>
  <si>
    <t>-13° 00' 34.3"</t>
  </si>
  <si>
    <t>-13° 20' 36.8"</t>
  </si>
  <si>
    <t>-14° 00' 03.8"</t>
  </si>
  <si>
    <t>-15° 16' 15.2"</t>
  </si>
  <si>
    <t>-16° 10' 48.9"</t>
  </si>
  <si>
    <t>-17° 02' 57.5"</t>
  </si>
  <si>
    <t>-17° 19' 46.2"</t>
  </si>
  <si>
    <t>-17° 52' 29.7"</t>
  </si>
  <si>
    <t>-18° 08' 23.7"</t>
  </si>
  <si>
    <t>-19° 08' 45.1"</t>
  </si>
  <si>
    <t>-19° 36' 53.4"</t>
  </si>
  <si>
    <t>-20° 03' 36.2"</t>
  </si>
  <si>
    <t>-20° 16' 24.6"</t>
  </si>
  <si>
    <t>-20° 28' 50.6"</t>
  </si>
  <si>
    <t>-21° 03' 50.9"</t>
  </si>
  <si>
    <t>-21° 14' 44.0"</t>
  </si>
  <si>
    <t>-21° 25' 13.2"</t>
  </si>
  <si>
    <t>-21° 44' 58.4"</t>
  </si>
  <si>
    <t>-21° 54' 13.8"</t>
  </si>
  <si>
    <t>-22° 03' 04.1"</t>
  </si>
  <si>
    <t>-22° 11' 29.0"</t>
  </si>
  <si>
    <t>-22° 27' 01.4"</t>
  </si>
  <si>
    <t>-22° 34' 08.4"</t>
  </si>
  <si>
    <t>-22° 40' 49.0"</t>
  </si>
  <si>
    <t>-22° 47' 02.9"</t>
  </si>
  <si>
    <t>-22° 52' 49.9"</t>
  </si>
  <si>
    <t>-23° 03' 02.5"</t>
  </si>
  <si>
    <t>-23° 07' 27.7"</t>
  </si>
  <si>
    <t>-23° 11' 25.3"</t>
  </si>
  <si>
    <t>-23° 14' 55.1"</t>
  </si>
  <si>
    <t>-23° 17' 57.0"</t>
  </si>
  <si>
    <t>-23° 20' 30.9"</t>
  </si>
  <si>
    <t>-23° 22' 36.8"</t>
  </si>
  <si>
    <t>-23° 24' 14.5"</t>
  </si>
  <si>
    <t>-23° 25' 24.1"</t>
  </si>
  <si>
    <t>-23° 26' 05.4"</t>
  </si>
  <si>
    <t>-23° 26' 18.5"</t>
  </si>
  <si>
    <t>-23° 26' 03.3"</t>
  </si>
  <si>
    <t>-23° 25' 19.9"</t>
  </si>
  <si>
    <t>-23° 24' 08.2"</t>
  </si>
  <si>
    <t>-23° 22' 28.4"</t>
  </si>
  <si>
    <t>-23° 20' 20.5"</t>
  </si>
  <si>
    <t>-23° 17' 44.4"</t>
  </si>
  <si>
    <t>-23° 14' 40.4"</t>
  </si>
  <si>
    <t>-23° 11' 08.4"</t>
  </si>
  <si>
    <t>-23° 07' 08.6"</t>
  </si>
  <si>
    <t>EoT</t>
  </si>
  <si>
    <t>Dec</t>
  </si>
  <si>
    <t>Orig</t>
  </si>
  <si>
    <t>Date String</t>
  </si>
  <si>
    <t>Date</t>
  </si>
  <si>
    <t>Equation of Time and Solar Declination at 12:00 GMT (+ve Sun Fast, -ve Sun Slow)</t>
  </si>
  <si>
    <t>2022-01-01 12:03:32.485058+00:00</t>
  </si>
  <si>
    <t>-3m 32s SS</t>
  </si>
  <si>
    <t>2022-01-02 12:04:00.664680+00:00</t>
  </si>
  <si>
    <t>-4m 1s SS</t>
  </si>
  <si>
    <t>2022-01-03 12:04:28.490741+00:00</t>
  </si>
  <si>
    <t>-4m 28s SS</t>
  </si>
  <si>
    <t>2022-01-04 12:04:55.926854+00:00</t>
  </si>
  <si>
    <t>-4m 56s SS</t>
  </si>
  <si>
    <t>2022-01-05 12:05:22.938111+00:00</t>
  </si>
  <si>
    <t>-5m 23s SS</t>
  </si>
  <si>
    <t>2022-01-06 12:05:49.491585+00:00</t>
  </si>
  <si>
    <t>-5m 49s SS</t>
  </si>
  <si>
    <t>2022-01-07 12:06:15.556606+00:00</t>
  </si>
  <si>
    <t>-6m 16s SS</t>
  </si>
  <si>
    <t>2022-01-08 12:06:41.104774+00:00</t>
  </si>
  <si>
    <t>-6m 41s SS</t>
  </si>
  <si>
    <t>2022-01-09 12:07:06.109691+00:00</t>
  </si>
  <si>
    <t>-7m 6s SS</t>
  </si>
  <si>
    <t>2022-01-10 12:07:30.546805+00:00</t>
  </si>
  <si>
    <t>-7m 31s SS</t>
  </si>
  <si>
    <t>2022-01-11 12:07:54.393252+00:00</t>
  </si>
  <si>
    <t>-7m 54s SS</t>
  </si>
  <si>
    <t>2022-01-12 12:08:17.627787+00:00</t>
  </si>
  <si>
    <t>-8m 18s SS</t>
  </si>
  <si>
    <t>2022-01-13 12:08:40.230653+00:00</t>
  </si>
  <si>
    <t>-8m 40s SS</t>
  </si>
  <si>
    <t>2022-01-14 12:09:02.183502+00:00</t>
  </si>
  <si>
    <t>-9m 2s SS</t>
  </si>
  <si>
    <t>2022-01-15 12:09:23.469483+00:00</t>
  </si>
  <si>
    <t>-9m 23s SS</t>
  </si>
  <si>
    <t>2022-01-16 12:09:44.073189+00:00</t>
  </si>
  <si>
    <t>-9m 44s SS</t>
  </si>
  <si>
    <t>2022-01-17 12:10:03.980520+00:00</t>
  </si>
  <si>
    <t>-10m 4s SS</t>
  </si>
  <si>
    <t>2022-01-18 12:10:23.178779+00:00</t>
  </si>
  <si>
    <t>-10m 23s SS</t>
  </si>
  <si>
    <t>2022-01-19 12:10:41.656591+00:00</t>
  </si>
  <si>
    <t>-10m 42s SS</t>
  </si>
  <si>
    <t>2022-01-20 12:10:59.403726+00:00</t>
  </si>
  <si>
    <t>-10m 59s SS</t>
  </si>
  <si>
    <t>2022-01-21 12:11:16.411004+00:00</t>
  </si>
  <si>
    <t>-11m 16s SS</t>
  </si>
  <si>
    <t>2022-01-22 12:11:32.670153+00:00</t>
  </si>
  <si>
    <t>-11m 33s SS</t>
  </si>
  <si>
    <t>2022-01-23 12:11:48.173735+00:00</t>
  </si>
  <si>
    <t>-11m 48s SS</t>
  </si>
  <si>
    <t>2022-01-24 12:12:02.914919+00:00</t>
  </si>
  <si>
    <t>-12m 3s SS</t>
  </si>
  <si>
    <t>2022-01-25 12:12:16.887324+00:00</t>
  </si>
  <si>
    <t>-12m 17s SS</t>
  </si>
  <si>
    <t>2022-01-26 12:12:30.084832+00:00</t>
  </si>
  <si>
    <t>-12m 30s SS</t>
  </si>
  <si>
    <t>2022-01-27 12:12:42.501327+00:00</t>
  </si>
  <si>
    <t>-12m 43s SS</t>
  </si>
  <si>
    <t>2022-01-28 12:12:54.130514+00:00</t>
  </si>
  <si>
    <t>-12m 54s SS</t>
  </si>
  <si>
    <t>2022-01-29 12:13:04.965808+00:00</t>
  </si>
  <si>
    <t>-13m 5s SS</t>
  </si>
  <si>
    <t>2022-01-30 12:13:15.000370+00:00</t>
  </si>
  <si>
    <t>-13m 15s SS</t>
  </si>
  <si>
    <t>2022-01-31 12:13:24.227378+00:00</t>
  </si>
  <si>
    <t>-13m 24s SS</t>
  </si>
  <si>
    <t>2022-02-01 12:13:32.640508+00:00</t>
  </si>
  <si>
    <t>-13m 33s SS</t>
  </si>
  <si>
    <t>2022-02-02 12:13:40.234495+00:00</t>
  </si>
  <si>
    <t>-13m 40s SS</t>
  </si>
  <si>
    <t>2022-02-03 12:13:47.005618+00:00</t>
  </si>
  <si>
    <t>-13m 47s SS</t>
  </si>
  <si>
    <t>2022-02-04 12:13:52.952032+00:00</t>
  </si>
  <si>
    <t>-13m 53s SS</t>
  </si>
  <si>
    <t>2022-02-05 12:13:58.073898+00:00</t>
  </si>
  <si>
    <t>-13m 58s SS</t>
  </si>
  <si>
    <t>2022-02-06 12:14:02.373390+00:00</t>
  </si>
  <si>
    <t>-14m 2s SS</t>
  </si>
  <si>
    <t>2022-02-07 12:14:05.854508+00:00</t>
  </si>
  <si>
    <t>-14m 6s SS</t>
  </si>
  <si>
    <t>2022-02-08 12:14:08.522827+00:00</t>
  </si>
  <si>
    <t>-14m 9s SS</t>
  </si>
  <si>
    <t>2022-02-09 12:14:10.385405+00:00</t>
  </si>
  <si>
    <t>-14m 10s SS</t>
  </si>
  <si>
    <t>2022-02-10 12:14:11.450630+00:00</t>
  </si>
  <si>
    <t>-14m 11s SS</t>
  </si>
  <si>
    <t>2022-02-11 12:14:11.728090+00:00</t>
  </si>
  <si>
    <t>-14m 12s SS</t>
  </si>
  <si>
    <t>2022-02-12 12:14:11.228639+00:00</t>
  </si>
  <si>
    <t>2022-02-13 12:14:09.966814+00:00</t>
  </si>
  <si>
    <t>2022-02-14 12:14:07.947836+00:00</t>
  </si>
  <si>
    <t>-14m 8s SS</t>
  </si>
  <si>
    <t>2022-02-15 12:14:05.193486+00:00</t>
  </si>
  <si>
    <t>-14m 5s SS</t>
  </si>
  <si>
    <t>2022-02-16 12:14:01.716174+00:00</t>
  </si>
  <si>
    <t>2022-02-17 12:13:57.531795+00:00</t>
  </si>
  <si>
    <t>2022-02-18 12:13:52.657026+00:00</t>
  </si>
  <si>
    <t>2022-02-19 12:13:47.109103+00:00</t>
  </si>
  <si>
    <t>2022-02-20 12:13:40.911506+00:00</t>
  </si>
  <si>
    <t>-13m 41s SS</t>
  </si>
  <si>
    <t>2022-02-21 12:13:34.071227+00:00</t>
  </si>
  <si>
    <t>-13m 34s SS</t>
  </si>
  <si>
    <t>2022-02-22 12:13:26.610886+00:00</t>
  </si>
  <si>
    <t>-13m 27s SS</t>
  </si>
  <si>
    <t>2022-02-23 12:13:18.547871+00:00</t>
  </si>
  <si>
    <t>-13m 19s SS</t>
  </si>
  <si>
    <t>2022-02-24 12:13:09.899069+00:00</t>
  </si>
  <si>
    <t>-13m 10s SS</t>
  </si>
  <si>
    <t>2022-02-25 12:13:00.680750+00:00</t>
  </si>
  <si>
    <t>-13m 1s SS</t>
  </si>
  <si>
    <t>2022-02-26 12:12:50.908450+00:00</t>
  </si>
  <si>
    <t>-12m 51s SS</t>
  </si>
  <si>
    <t>2022-02-27 12:12:40.596992+00:00</t>
  </si>
  <si>
    <t>-12m 41s SS</t>
  </si>
  <si>
    <t>2022-02-28 12:12:29.760491+00:00</t>
  </si>
  <si>
    <t>2022-03-01 12:12:18.412619+00:00</t>
  </si>
  <si>
    <t>-12m 18s SS</t>
  </si>
  <si>
    <t>2022-03-02 12:12:06.567013+00:00</t>
  </si>
  <si>
    <t>-12m 7s SS</t>
  </si>
  <si>
    <t>2022-03-03 12:11:54.237498+00:00</t>
  </si>
  <si>
    <t>-11m 54s SS</t>
  </si>
  <si>
    <t>2022-03-04 12:11:41.438441+00:00</t>
  </si>
  <si>
    <t>-11m 41s SS</t>
  </si>
  <si>
    <t>2022-03-05 12:11:28.185052+00:00</t>
  </si>
  <si>
    <t>-11m 28s SS</t>
  </si>
  <si>
    <t>2022-03-06 12:11:14.493507+00:00</t>
  </si>
  <si>
    <t>-11m 14s SS</t>
  </si>
  <si>
    <t>2022-03-07 12:11:00.380891+00:00</t>
  </si>
  <si>
    <t>-11m 0s SS</t>
  </si>
  <si>
    <t>2022-03-08 12:10:45.865148+00:00</t>
  </si>
  <si>
    <t>-10m 46s SS</t>
  </si>
  <si>
    <t>2022-03-09 12:10:30.965044+00:00</t>
  </si>
  <si>
    <t>-10m 31s SS</t>
  </si>
  <si>
    <t>2022-03-10 12:10:15.694835+00:00</t>
  </si>
  <si>
    <t>-10m 16s SS</t>
  </si>
  <si>
    <t>2022-03-11 12:10:00.084699+00:00</t>
  </si>
  <si>
    <t>-10m 0s SS</t>
  </si>
  <si>
    <t>2022-03-12 12:09:44.150353+00:00</t>
  </si>
  <si>
    <t>2022-03-13 12:09:27.912911+00:00</t>
  </si>
  <si>
    <t>-9m 28s SS</t>
  </si>
  <si>
    <t>2022-03-14 12:09:11.394044+00:00</t>
  </si>
  <si>
    <t>-9m 11s SS</t>
  </si>
  <si>
    <t>2022-03-15 12:08:54.616001+00:00</t>
  </si>
  <si>
    <t>-8m 55s SS</t>
  </si>
  <si>
    <t>2022-03-16 12:08:37.601610+00:00</t>
  </si>
  <si>
    <t>-8m 38s SS</t>
  </si>
  <si>
    <t>2022-03-17 12:08:20.374248+00:00</t>
  </si>
  <si>
    <t>-8m 20s SS</t>
  </si>
  <si>
    <t>2022-03-18 12:08:02.957715+00:00</t>
  </si>
  <si>
    <t>-8m 3s SS</t>
  </si>
  <si>
    <t>2022-03-19 12:07:45.376234+00:00</t>
  </si>
  <si>
    <t>-7m 45s SS</t>
  </si>
  <si>
    <t>2022-03-20 12:07:27.654214+00:00</t>
  </si>
  <si>
    <t>-7m 28s SS</t>
  </si>
  <si>
    <t>2022-03-21 12:07:09.815814+00:00</t>
  </si>
  <si>
    <t>-7m 10s SS</t>
  </si>
  <si>
    <t>2022-03-22 12:06:51.884813+00:00</t>
  </si>
  <si>
    <t>-6m 52s SS</t>
  </si>
  <si>
    <t>2022-03-23 12:06:33.884433+00:00</t>
  </si>
  <si>
    <t>-6m 34s SS</t>
  </si>
  <si>
    <t>2022-03-24 12:06:15.836991+00:00</t>
  </si>
  <si>
    <t>2022-03-25 12:05:57.763764+00:00</t>
  </si>
  <si>
    <t>-5m 58s SS</t>
  </si>
  <si>
    <t>2022-03-26 12:05:39.684954+00:00</t>
  </si>
  <si>
    <t>-5m 40s SS</t>
  </si>
  <si>
    <t>2022-03-27 12:05:21.619682+00:00</t>
  </si>
  <si>
    <t>-5m 22s SS</t>
  </si>
  <si>
    <t>+02° 34' 38.9"</t>
  </si>
  <si>
    <t>2022-03-28 12:05:03.586033+00:00</t>
  </si>
  <si>
    <t>-5m 4s SS</t>
  </si>
  <si>
    <t>2022-03-29 12:04:45.601094+00:00</t>
  </si>
  <si>
    <t>-4m 46s SS</t>
  </si>
  <si>
    <t>2022-03-30 12:04:27.681252+00:00</t>
  </si>
  <si>
    <t>2022-03-31 12:04:09.842438+00:00</t>
  </si>
  <si>
    <t>-4m 10s SS</t>
  </si>
  <si>
    <t>2022-04-01 12:03:52.100218+00:00</t>
  </si>
  <si>
    <t>-3m 52s SS</t>
  </si>
  <si>
    <t>2022-04-02 12:03:34.470069+00:00</t>
  </si>
  <si>
    <t>-3m 34s SS</t>
  </si>
  <si>
    <t>2022-04-03 12:03:16.967551+00:00</t>
  </si>
  <si>
    <t>-3m 17s SS</t>
  </si>
  <si>
    <t>2022-04-04 12:02:59.613217+00:00</t>
  </si>
  <si>
    <t>-3m 0s SS</t>
  </si>
  <si>
    <t>2022-04-05 12:02:42.412898+00:00</t>
  </si>
  <si>
    <t>-2m 42s SS</t>
  </si>
  <si>
    <t>2022-04-06 12:02:25.388226+00:00</t>
  </si>
  <si>
    <t>-2m 25s SS</t>
  </si>
  <si>
    <t>2022-04-07 12:02:08.555815+00:00</t>
  </si>
  <si>
    <t>-2m 9s SS</t>
  </si>
  <si>
    <t>2022-04-08 12:01:51.927658+00:00</t>
  </si>
  <si>
    <t>-1m 52s SS</t>
  </si>
  <si>
    <t>2022-04-09 12:01:35.532231+00:00</t>
  </si>
  <si>
    <t>-1m 36s SS</t>
  </si>
  <si>
    <t>2022-04-10 12:01:19.381650+00:00</t>
  </si>
  <si>
    <t>-1m 19s SS</t>
  </si>
  <si>
    <t>2022-04-11 12:01:03.485015+00:00</t>
  </si>
  <si>
    <t>-1m 3s SS</t>
  </si>
  <si>
    <t>+08° 17' 54.6"</t>
  </si>
  <si>
    <t>2022-04-12 12:00:47.873508+00:00</t>
  </si>
  <si>
    <t>-0m 48s SS</t>
  </si>
  <si>
    <t>2022-04-13 12:00:32.549500+00:00</t>
  </si>
  <si>
    <t>-0m 33s SS</t>
  </si>
  <si>
    <t>2022-04-14 12:00:17.542542+00:00</t>
  </si>
  <si>
    <t>-0m 18s SS</t>
  </si>
  <si>
    <t>2022-04-15 12:00:02.867811+00:00</t>
  </si>
  <si>
    <t>-0m 3s SS</t>
  </si>
  <si>
    <t>2022-04-16 11:59:48.549728+00:00</t>
  </si>
  <si>
    <t>+0m 11s SF</t>
  </si>
  <si>
    <t>2022-04-17 11:59:34.597154+00:00</t>
  </si>
  <si>
    <t>+0m 25s SF</t>
  </si>
  <si>
    <t>2022-04-18 11:59:21.033481+00:00</t>
  </si>
  <si>
    <t>+0m 39s SF</t>
  </si>
  <si>
    <t>2022-04-19 11:59:07.877128+00:00</t>
  </si>
  <si>
    <t>+0m 52s SF</t>
  </si>
  <si>
    <t>2022-04-20 11:58:55.140484+00:00</t>
  </si>
  <si>
    <t>+1m 5s SF</t>
  </si>
  <si>
    <t>2022-04-21 11:58:42.849808+00:00</t>
  </si>
  <si>
    <t>+1m 17s SF</t>
  </si>
  <si>
    <t>2022-04-22 11:58:31.015775+00:00</t>
  </si>
  <si>
    <t>+1m 29s SF</t>
  </si>
  <si>
    <t>2022-04-23 11:58:19.652064+00:00</t>
  </si>
  <si>
    <t>+1m 40s SF</t>
  </si>
  <si>
    <t>2022-04-24 11:58:08.770857+00:00</t>
  </si>
  <si>
    <t>+1m 51s SF</t>
  </si>
  <si>
    <t>2022-04-25 11:57:58.382885+00:00</t>
  </si>
  <si>
    <t>+2m 2s SF</t>
  </si>
  <si>
    <t>2022-04-26 11:57:48.502645+00:00</t>
  </si>
  <si>
    <t>+2m 12s SF</t>
  </si>
  <si>
    <t>2022-04-27 11:57:39.128128+00:00</t>
  </si>
  <si>
    <t>+2m 21s SF</t>
  </si>
  <si>
    <t>2022-04-28 11:57:30.270932+00:00</t>
  </si>
  <si>
    <t>+2m 30s SF</t>
  </si>
  <si>
    <t>2022-04-29 11:57:21.936878+00:00</t>
  </si>
  <si>
    <t>+2m 38s SF</t>
  </si>
  <si>
    <t>2022-04-30 11:57:14.130949+00:00</t>
  </si>
  <si>
    <t>+2m 46s SF</t>
  </si>
  <si>
    <t>2022-05-01 11:57:06.857444+00:00</t>
  </si>
  <si>
    <t>+2m 53s SF</t>
  </si>
  <si>
    <t>2022-05-02 11:57:00.120118+00:00</t>
  </si>
  <si>
    <t>+3m 0s SF</t>
  </si>
  <si>
    <t>2022-05-03 11:56:53.917264+00:00</t>
  </si>
  <si>
    <t>+3m 6s SF</t>
  </si>
  <si>
    <t>2022-05-04 11:56:48.261562+00:00</t>
  </si>
  <si>
    <t>+3m 12s SF</t>
  </si>
  <si>
    <t>2022-05-05 11:56:43.150778+00:00</t>
  </si>
  <si>
    <t>+3m 17s SF</t>
  </si>
  <si>
    <t>2022-05-06 11:56:38.587230+00:00</t>
  </si>
  <si>
    <t>+3m 21s SF</t>
  </si>
  <si>
    <t>2022-05-07 11:56:34.572903+00:00</t>
  </si>
  <si>
    <t>+3m 25s SF</t>
  </si>
  <si>
    <t>2022-05-08 11:56:31.109472+00:00</t>
  </si>
  <si>
    <t>+3m 29s SF</t>
  </si>
  <si>
    <t>+17° 04' 25.5"</t>
  </si>
  <si>
    <t>2022-05-09 11:56:28.198387+00:00</t>
  </si>
  <si>
    <t>+3m 32s SF</t>
  </si>
  <si>
    <t>2022-05-10 11:56:25.840876+00:00</t>
  </si>
  <si>
    <t>+3m 34s SF</t>
  </si>
  <si>
    <t>2022-05-11 11:56:24.038035+00:00</t>
  </si>
  <si>
    <t>+3m 36s SF</t>
  </si>
  <si>
    <t>2022-05-12 11:56:22.790891+00:00</t>
  </si>
  <si>
    <t>+3m 37s SF</t>
  </si>
  <si>
    <t>2022-05-13 11:56:22.100595+00:00</t>
  </si>
  <si>
    <t>+3m 38s SF</t>
  </si>
  <si>
    <t>2022-05-14 11:56:21.968511+00:00</t>
  </si>
  <si>
    <t>2022-05-15 11:56:22.396176+00:00</t>
  </si>
  <si>
    <t>2022-05-16 11:56:23.385140+00:00</t>
  </si>
  <si>
    <t>2022-05-17 11:56:24.941378+00:00</t>
  </si>
  <si>
    <t>+3m 35s SF</t>
  </si>
  <si>
    <t>2022-05-18 11:56:27.055394+00:00</t>
  </si>
  <si>
    <t>+3m 33s SF</t>
  </si>
  <si>
    <t>2022-05-19 11:56:29.726649+00:00</t>
  </si>
  <si>
    <t>+3m 30s SF</t>
  </si>
  <si>
    <t>2022-05-20 11:56:32.963484+00:00</t>
  </si>
  <si>
    <t>+3m 27s SF</t>
  </si>
  <si>
    <t>2022-05-21 11:56:36.760743+00:00</t>
  </si>
  <si>
    <t>+3m 23s SF</t>
  </si>
  <si>
    <t>2022-05-22 11:56:41.098254+00:00</t>
  </si>
  <si>
    <t>+3m 19s SF</t>
  </si>
  <si>
    <t>2022-05-23 11:56:45.982372+00:00</t>
  </si>
  <si>
    <t>+3m 14s SF</t>
  </si>
  <si>
    <t>2022-05-24 11:56:51.399733+00:00</t>
  </si>
  <si>
    <t>+3m 9s SF</t>
  </si>
  <si>
    <t>2022-05-25 11:56:57.337575+00:00</t>
  </si>
  <si>
    <t>+3m 3s SF</t>
  </si>
  <si>
    <t>2022-05-26 11:57:03.782768+00:00</t>
  </si>
  <si>
    <t>+2m 56s SF</t>
  </si>
  <si>
    <t>2022-05-27 11:57:10.720790+00:00</t>
  </si>
  <si>
    <t>+2m 49s SF</t>
  </si>
  <si>
    <t>2022-05-28 11:57:18.135885+00:00</t>
  </si>
  <si>
    <t>+2m 42s SF</t>
  </si>
  <si>
    <t>2022-05-29 11:57:26.011234+00:00</t>
  </si>
  <si>
    <t>+2m 34s SF</t>
  </si>
  <si>
    <t>2022-05-30 11:57:34.329120+00:00</t>
  </si>
  <si>
    <t>+2m 26s SF</t>
  </si>
  <si>
    <t>2022-05-31 11:57:43.071070+00:00</t>
  </si>
  <si>
    <t>+2m 17s SF</t>
  </si>
  <si>
    <t>2022-06-01 11:57:52.217959+00:00</t>
  </si>
  <si>
    <t>+2m 8s SF</t>
  </si>
  <si>
    <t>2022-06-02 11:58:01.750123+00:00</t>
  </si>
  <si>
    <t>+1m 58s SF</t>
  </si>
  <si>
    <t>2022-06-03 11:58:11.647468+00:00</t>
  </si>
  <si>
    <t>+1m 48s SF</t>
  </si>
  <si>
    <t>2022-06-04 11:58:21.889522+00:00</t>
  </si>
  <si>
    <t>+1m 38s SF</t>
  </si>
  <si>
    <t>2022-06-05 11:58:32.456613+00:00</t>
  </si>
  <si>
    <t>+1m 28s SF</t>
  </si>
  <si>
    <t>2022-06-06 11:58:43.331623+00:00</t>
  </si>
  <si>
    <t>2022-06-07 11:58:54.478677+00:00</t>
  </si>
  <si>
    <t>+1m 6s SF</t>
  </si>
  <si>
    <t>2022-06-08 11:59:05.897018+00:00</t>
  </si>
  <si>
    <t>+0m 54s SF</t>
  </si>
  <si>
    <t>2022-06-09 11:59:17.550340+00:00</t>
  </si>
  <si>
    <t>+0m 42s SF</t>
  </si>
  <si>
    <t>2022-06-10 11:59:29.418846+00:00</t>
  </si>
  <si>
    <t>+0m 31s SF</t>
  </si>
  <si>
    <t>2022-06-11 11:59:41.497569+00:00</t>
  </si>
  <si>
    <t>+0m 19s SF</t>
  </si>
  <si>
    <t>2022-06-12 11:59:53.752460+00:00</t>
  </si>
  <si>
    <t>+0m 6s SF</t>
  </si>
  <si>
    <t>2022-06-13 12:00:06.165724+00:00</t>
  </si>
  <si>
    <t>-0m 6s SS</t>
  </si>
  <si>
    <t>2022-06-14 12:00:18.734628+00:00</t>
  </si>
  <si>
    <t>-0m 19s SS</t>
  </si>
  <si>
    <t>2022-06-15 12:00:31.421974+00:00</t>
  </si>
  <si>
    <t>-0m 31s SS</t>
  </si>
  <si>
    <t>2022-06-16 12:00:44.225816+00:00</t>
  </si>
  <si>
    <t>-0m 44s SS</t>
  </si>
  <si>
    <t>2022-06-17 12:00:57.122811+00:00</t>
  </si>
  <si>
    <t>-0m 57s SS</t>
  </si>
  <si>
    <t>2022-06-18 12:01:10.099403+00:00</t>
  </si>
  <si>
    <t>-1m 10s SS</t>
  </si>
  <si>
    <t>2022-06-19 12:01:23.125130+00:00</t>
  </si>
  <si>
    <t>-1m 23s SS</t>
  </si>
  <si>
    <t>2022-06-20 12:01:36.183262+00:00</t>
  </si>
  <si>
    <t>2022-06-21 12:01:49.250861+00:00</t>
  </si>
  <si>
    <t>-1m 49s SS</t>
  </si>
  <si>
    <t>2022-06-22 12:02:02.299042+00:00</t>
  </si>
  <si>
    <t>-2m 2s SS</t>
  </si>
  <si>
    <t>2022-06-23 12:02:15.312520+00:00</t>
  </si>
  <si>
    <t>-2m 15s SS</t>
  </si>
  <si>
    <t>2022-06-24 12:02:28.260953+00:00</t>
  </si>
  <si>
    <t>-2m 28s SS</t>
  </si>
  <si>
    <t>2022-06-25 12:02:41.118348+00:00</t>
  </si>
  <si>
    <t>-2m 41s SS</t>
  </si>
  <si>
    <t>2022-06-26 12:02:53.863248+00:00</t>
  </si>
  <si>
    <t>-2m 54s SS</t>
  </si>
  <si>
    <t>2022-06-27 12:03:06.454412+00:00</t>
  </si>
  <si>
    <t>-3m 6s SS</t>
  </si>
  <si>
    <t>2022-06-28 12:03:18.880267+00:00</t>
  </si>
  <si>
    <t>-3m 19s SS</t>
  </si>
  <si>
    <t>2022-06-29 12:03:31.114726+00:00</t>
  </si>
  <si>
    <t>-3m 31s SS</t>
  </si>
  <si>
    <t>2022-06-30 12:03:43.121720+00:00</t>
  </si>
  <si>
    <t>-3m 43s SS</t>
  </si>
  <si>
    <t>2022-07-01 12:03:54.880666+00:00</t>
  </si>
  <si>
    <t>-3m 55s SS</t>
  </si>
  <si>
    <t>2022-07-02 12:04:06.366516+00:00</t>
  </si>
  <si>
    <t>-4m 6s SS</t>
  </si>
  <si>
    <t>2022-07-03 12:04:17.554898+00:00</t>
  </si>
  <si>
    <t>-4m 18s SS</t>
  </si>
  <si>
    <t>2022-07-04 12:04:28.422269+00:00</t>
  </si>
  <si>
    <t>2022-07-05 12:04:38.945897+00:00</t>
  </si>
  <si>
    <t>-4m 39s SS</t>
  </si>
  <si>
    <t>2022-07-06 12:04:49.104087+00:00</t>
  </si>
  <si>
    <t>-4m 49s SS</t>
  </si>
  <si>
    <t>2022-07-07 12:04:58.876375+00:00</t>
  </si>
  <si>
    <t>-4m 59s SS</t>
  </si>
  <si>
    <t>2022-07-08 12:05:08.243742+00:00</t>
  </si>
  <si>
    <t>-5m 8s SS</t>
  </si>
  <si>
    <t>2022-07-09 12:05:17.188758+00:00</t>
  </si>
  <si>
    <t>-5m 17s SS</t>
  </si>
  <si>
    <t>2022-07-10 12:05:25.690751+00:00</t>
  </si>
  <si>
    <t>-5m 26s SS</t>
  </si>
  <si>
    <t>2022-07-11 12:05:33.746012+00:00</t>
  </si>
  <si>
    <t>-5m 34s SS</t>
  </si>
  <si>
    <t>2022-07-12 12:05:41.342917+00:00</t>
  </si>
  <si>
    <t>-5m 41s SS</t>
  </si>
  <si>
    <t>+21° 58' 10.2"</t>
  </si>
  <si>
    <t>2022-07-13 12:05:48.461694+00:00</t>
  </si>
  <si>
    <t>-5m 48s SS</t>
  </si>
  <si>
    <t>2022-07-14 12:05:55.093247+00:00</t>
  </si>
  <si>
    <t>-5m 55s SS</t>
  </si>
  <si>
    <t>2022-07-15 12:06:01.239322+00:00</t>
  </si>
  <si>
    <t>-6m 1s SS</t>
  </si>
  <si>
    <t>+21° 31' 31.0"</t>
  </si>
  <si>
    <t>2022-07-16 12:06:06.892945+00:00</t>
  </si>
  <si>
    <t>-6m 7s SS</t>
  </si>
  <si>
    <t>2022-07-17 12:06:12.030588+00:00</t>
  </si>
  <si>
    <t>-6m 12s SS</t>
  </si>
  <si>
    <t>2022-07-18 12:06:16.664010+00:00</t>
  </si>
  <si>
    <t>-6m 17s SS</t>
  </si>
  <si>
    <t>2022-07-19 12:06:20.764902+00:00</t>
  </si>
  <si>
    <t>-6m 21s SS</t>
  </si>
  <si>
    <t>+20° 50' 52.3"</t>
  </si>
  <si>
    <t>2022-07-20 12:06:24.343297+00:00</t>
  </si>
  <si>
    <t>-6m 24s SS</t>
  </si>
  <si>
    <t>2022-07-21 12:06:27.371042+00:00</t>
  </si>
  <si>
    <t>-6m 27s SS</t>
  </si>
  <si>
    <t>2022-07-22 12:06:29.857554+00:00</t>
  </si>
  <si>
    <t>-6m 30s SS</t>
  </si>
  <si>
    <t>2022-07-23 12:06:31.775142+00:00</t>
  </si>
  <si>
    <t>-6m 32s SS</t>
  </si>
  <si>
    <t>2022-07-24 12:06:33.133647+00:00</t>
  </si>
  <si>
    <t>-6m 33s SS</t>
  </si>
  <si>
    <t>2022-07-25 12:06:33.906092+00:00</t>
  </si>
  <si>
    <t>2022-07-26 12:06:34.103171+00:00</t>
  </si>
  <si>
    <t>2022-07-27 12:06:33.699044+00:00</t>
  </si>
  <si>
    <t>2022-07-28 12:06:32.700028+00:00</t>
  </si>
  <si>
    <t>2022-07-29 12:06:31.101457+00:00</t>
  </si>
  <si>
    <t>-6m 31s SS</t>
  </si>
  <si>
    <t>2022-07-30 12:06:28.882493+00:00</t>
  </si>
  <si>
    <t>-6m 29s SS</t>
  </si>
  <si>
    <t>2022-07-31 12:06:26.056230+00:00</t>
  </si>
  <si>
    <t>-6m 26s SS</t>
  </si>
  <si>
    <t>2022-08-01 12:06:22.611239+00:00</t>
  </si>
  <si>
    <t>-6m 23s SS</t>
  </si>
  <si>
    <t>2022-08-02 12:06:18.542305+00:00</t>
  </si>
  <si>
    <t>-6m 19s SS</t>
  </si>
  <si>
    <t>2022-08-03 12:06:13.845168+00:00</t>
  </si>
  <si>
    <t>-6m 14s SS</t>
  </si>
  <si>
    <t>2022-08-04 12:06:08.535262+00:00</t>
  </si>
  <si>
    <t>-6m 9s SS</t>
  </si>
  <si>
    <t>2022-08-05 12:06:02.598841+00:00</t>
  </si>
  <si>
    <t>-6m 3s SS</t>
  </si>
  <si>
    <t>2022-08-06 12:05:56.038177+00:00</t>
  </si>
  <si>
    <t>-5m 56s SS</t>
  </si>
  <si>
    <t>2022-08-07 12:05:48.867468+00:00</t>
  </si>
  <si>
    <t>2022-08-08 12:05:41.088479+00:00</t>
  </si>
  <si>
    <t>2022-08-09 12:05:32.709371+00:00</t>
  </si>
  <si>
    <t>-5m 33s SS</t>
  </si>
  <si>
    <t>2022-08-10 12:05:23.740030+00:00</t>
  </si>
  <si>
    <t>-5m 24s SS</t>
  </si>
  <si>
    <t>2022-08-11 12:05:14.191866+00:00</t>
  </si>
  <si>
    <t>-5m 14s SS</t>
  </si>
  <si>
    <t>+15° 16' 32.8"</t>
  </si>
  <si>
    <t>2022-08-12 12:05:04.077318+00:00</t>
  </si>
  <si>
    <t>2022-08-13 12:04:53.409428+00:00</t>
  </si>
  <si>
    <t>-4m 53s SS</t>
  </si>
  <si>
    <t>2022-08-14 12:04:42.201381+00:00</t>
  </si>
  <si>
    <t>-4m 42s SS</t>
  </si>
  <si>
    <t>2022-08-15 12:04:30.470874+00:00</t>
  </si>
  <si>
    <t>-4m 30s SS</t>
  </si>
  <si>
    <t>2022-08-16 12:04:18.220733+00:00</t>
  </si>
  <si>
    <t>2022-08-17 12:04:05.468102+00:00</t>
  </si>
  <si>
    <t>-4m 5s SS</t>
  </si>
  <si>
    <t>+13° 25' 43.9"</t>
  </si>
  <si>
    <t>2022-08-18 12:03:52.224666+00:00</t>
  </si>
  <si>
    <t>2022-08-19 12:03:38.501883+00:00</t>
  </si>
  <si>
    <t>-3m 38s SS</t>
  </si>
  <si>
    <t>2022-08-20 12:03:24.311053+00:00</t>
  </si>
  <si>
    <t>-3m 24s SS</t>
  </si>
  <si>
    <t>2022-08-21 12:03:09.658845+00:00</t>
  </si>
  <si>
    <t>-3m 10s SS</t>
  </si>
  <si>
    <t>+12° 07' 30.7"</t>
  </si>
  <si>
    <t>2022-08-22 12:02:54.566385+00:00</t>
  </si>
  <si>
    <t>-2m 55s SS</t>
  </si>
  <si>
    <t>2022-08-23 12:02:39.039763+00:00</t>
  </si>
  <si>
    <t>-2m 39s SS</t>
  </si>
  <si>
    <t>+11° 27' 13.3"</t>
  </si>
  <si>
    <t>2022-08-24 12:02:23.090304+00:00</t>
  </si>
  <si>
    <t>-2m 23s SS</t>
  </si>
  <si>
    <t>+11° 06' 48.0"</t>
  </si>
  <si>
    <t>2022-08-25 12:02:06.733522+00:00</t>
  </si>
  <si>
    <t>-2m 7s SS</t>
  </si>
  <si>
    <t>2022-08-26 12:01:49.971671+00:00</t>
  </si>
  <si>
    <t>-1m 50s SS</t>
  </si>
  <si>
    <t>2022-08-27 12:01:32.817988+00:00</t>
  </si>
  <si>
    <t>-1m 33s SS</t>
  </si>
  <si>
    <t>2022-08-28 12:01:15.296843+00:00</t>
  </si>
  <si>
    <t>-1m 15s SS</t>
  </si>
  <si>
    <t>2022-08-29 12:00:57.403783+00:00</t>
  </si>
  <si>
    <t>2022-08-30 12:00:39.166425+00:00</t>
  </si>
  <si>
    <t>-0m 39s SS</t>
  </si>
  <si>
    <t>+09° 00' 45.0"</t>
  </si>
  <si>
    <t>2022-08-31 12:00:20.582407+00:00</t>
  </si>
  <si>
    <t>-0m 21s SS</t>
  </si>
  <si>
    <t>2022-09-01 12:00:01.677052+00:00</t>
  </si>
  <si>
    <t>-0m 2s SS</t>
  </si>
  <si>
    <t>2022-09-02 11:59:42.461439+00:00</t>
  </si>
  <si>
    <t>+0m 18s SF</t>
  </si>
  <si>
    <t>2022-09-03 11:59:22.956818+00:00</t>
  </si>
  <si>
    <t>+0m 37s SF</t>
  </si>
  <si>
    <t>+07° 33' 46.9"</t>
  </si>
  <si>
    <t>2022-09-04 11:59:03.169428+00:00</t>
  </si>
  <si>
    <t>+0m 57s SF</t>
  </si>
  <si>
    <t>2022-09-05 11:58:43.121968+00:00</t>
  </si>
  <si>
    <t>2022-09-06 11:58:22.833708+00:00</t>
  </si>
  <si>
    <t>+1m 37s SF</t>
  </si>
  <si>
    <t>2022-09-07 11:58:02.325237+00:00</t>
  </si>
  <si>
    <t>2022-09-08 11:57:41.618306+00:00</t>
  </si>
  <si>
    <t>+2m 18s SF</t>
  </si>
  <si>
    <t>+05° 42' 24.5"</t>
  </si>
  <si>
    <t>2022-09-09 11:57:20.735587+00:00</t>
  </si>
  <si>
    <t>+2m 39s SF</t>
  </si>
  <si>
    <t>2022-09-10 11:56:59.700371+00:00</t>
  </si>
  <si>
    <t>2022-09-11 11:56:38.536127+00:00</t>
  </si>
  <si>
    <t>+04° 34' 25.1"</t>
  </si>
  <si>
    <t>2022-09-12 11:56:17.266128+00:00</t>
  </si>
  <si>
    <t>+3m 43s SF</t>
  </si>
  <si>
    <t>2022-09-13 11:55:55.913233+00:00</t>
  </si>
  <si>
    <t>+4m 4s SF</t>
  </si>
  <si>
    <t>+03° 48' 41.3"</t>
  </si>
  <si>
    <t>2022-09-14 11:55:34.499747+00:00</t>
  </si>
  <si>
    <t>+4m 26s SF</t>
  </si>
  <si>
    <t>2022-09-15 11:55:13.047360+00:00</t>
  </si>
  <si>
    <t>+4m 47s SF</t>
  </si>
  <si>
    <t>2022-09-16 11:54:51.577173+00:00</t>
  </si>
  <si>
    <t>+5m 8s SF</t>
  </si>
  <si>
    <t>2022-09-17 11:54:30.109784+00:00</t>
  </si>
  <si>
    <t>+5m 30s SF</t>
  </si>
  <si>
    <t>2022-09-18 11:54:08.665378+00:00</t>
  </si>
  <si>
    <t>+5m 51s SF</t>
  </si>
  <si>
    <t>2022-09-19 11:53:47.263763+00:00</t>
  </si>
  <si>
    <t>+6m 13s SF</t>
  </si>
  <si>
    <t>2022-09-20 11:53:25.924402+00:00</t>
  </si>
  <si>
    <t>+6m 34s SF</t>
  </si>
  <si>
    <t>2022-09-21 11:53:04.666433+00:00</t>
  </si>
  <si>
    <t>+6m 55s SF</t>
  </si>
  <si>
    <t>2022-09-22 11:52:43.508632+00:00</t>
  </si>
  <si>
    <t>+7m 16s SF</t>
  </si>
  <si>
    <t>2022-09-23 11:52:22.469383+00:00</t>
  </si>
  <si>
    <t>+7m 38s SF</t>
  </si>
  <si>
    <t>2022-09-24 11:52:01.566655+00:00</t>
  </si>
  <si>
    <t>+7m 58s SF</t>
  </si>
  <si>
    <t>2022-09-25 11:51:40.817999+00:00</t>
  </si>
  <si>
    <t>+8m 19s SF</t>
  </si>
  <si>
    <t>-00° 49' 59.0"</t>
  </si>
  <si>
    <t>2022-09-26 11:51:20.240592+00:00</t>
  </si>
  <si>
    <t>+8m 40s SF</t>
  </si>
  <si>
    <t>2022-09-27 11:50:59.851332+00:00</t>
  </si>
  <si>
    <t>+9m 0s SF</t>
  </si>
  <si>
    <t>-01° 36' 43.4"</t>
  </si>
  <si>
    <t>2022-09-28 11:50:39.666980+00:00</t>
  </si>
  <si>
    <t>+9m 20s SF</t>
  </si>
  <si>
    <t>2022-09-29 11:50:19.704353+00:00</t>
  </si>
  <si>
    <t>+9m 40s SF</t>
  </si>
  <si>
    <t>2022-09-30 11:49:59.980569+00:00</t>
  </si>
  <si>
    <t>+10m 0s SF</t>
  </si>
  <si>
    <t>2022-10-01 11:49:40.513290+00:00</t>
  </si>
  <si>
    <t>+10m 19s SF</t>
  </si>
  <si>
    <t>-03° 10' 01.2"</t>
  </si>
  <si>
    <t>2022-10-02 11:49:21.320904+00:00</t>
  </si>
  <si>
    <t>+10m 39s SF</t>
  </si>
  <si>
    <t>2022-10-03 11:49:02.422668+00:00</t>
  </si>
  <si>
    <t>+10m 58s SF</t>
  </si>
  <si>
    <t>2022-10-04 11:48:43.838783+00:00</t>
  </si>
  <si>
    <t>+11m 16s SF</t>
  </si>
  <si>
    <t>2022-10-05 11:48:25.590389+00:00</t>
  </si>
  <si>
    <t>+11m 34s SF</t>
  </si>
  <si>
    <t>-04° 42' 44.4"</t>
  </si>
  <si>
    <t>2022-10-06 11:48:07.699493+00:00</t>
  </si>
  <si>
    <t>+11m 52s SF</t>
  </si>
  <si>
    <t>-05° 05' 47.1"</t>
  </si>
  <si>
    <t>2022-10-07 11:47:50.188813+00:00</t>
  </si>
  <si>
    <t>+12m 10s SF</t>
  </si>
  <si>
    <t>2022-10-08 11:47:33.081538+00:00</t>
  </si>
  <si>
    <t>+12m 27s SF</t>
  </si>
  <si>
    <t>2022-10-09 11:47:16.401030+00:00</t>
  </si>
  <si>
    <t>+12m 44s SF</t>
  </si>
  <si>
    <t>2022-10-10 11:47:00.170533+00:00</t>
  </si>
  <si>
    <t>+13m 0s SF</t>
  </si>
  <si>
    <t>2022-10-11 11:46:44.408085+00:00</t>
  </si>
  <si>
    <t>+13m 16s SF</t>
  </si>
  <si>
    <t>2022-10-12 11:46:29.146005+00:00</t>
  </si>
  <si>
    <t>+13m 31s SF</t>
  </si>
  <si>
    <t>-07° 22' 29.0"</t>
  </si>
  <si>
    <t>2022-10-13 11:46:14.400602+00:00</t>
  </si>
  <si>
    <t>+13m 46s SF</t>
  </si>
  <si>
    <t>2022-10-14 11:46:00.192642+00:00</t>
  </si>
  <si>
    <t>+14m 0s SF</t>
  </si>
  <si>
    <t>2022-10-15 11:45:46.542104+00:00</t>
  </si>
  <si>
    <t>+14m 13s SF</t>
  </si>
  <si>
    <t>2022-10-16 11:45:33.468192+00:00</t>
  </si>
  <si>
    <t>+14m 27s SF</t>
  </si>
  <si>
    <t>-08° 51' 42.1"</t>
  </si>
  <si>
    <t>2022-10-17 11:45:20.989355+00:00</t>
  </si>
  <si>
    <t>+14m 39s SF</t>
  </si>
  <si>
    <t>2022-10-18 11:45:09.123290+00:00</t>
  </si>
  <si>
    <t>+14m 51s SF</t>
  </si>
  <si>
    <t>-09° 35' 35.6"</t>
  </si>
  <si>
    <t>2022-10-19 11:44:57.886927+00:00</t>
  </si>
  <si>
    <t>+15m 2s SF</t>
  </si>
  <si>
    <t>2022-10-20 11:44:47.296382+00:00</t>
  </si>
  <si>
    <t>+15m 13s SF</t>
  </si>
  <si>
    <t>2022-10-21 11:44:37.366878+00:00</t>
  </si>
  <si>
    <t>+15m 23s SF</t>
  </si>
  <si>
    <t>2022-10-22 11:44:28.112660+00:00</t>
  </si>
  <si>
    <t>+15m 32s SF</t>
  </si>
  <si>
    <t>2022-10-23 11:44:19.546873+00:00</t>
  </si>
  <si>
    <t>+15m 40s SF</t>
  </si>
  <si>
    <t>2022-10-24 11:44:11.681491+00:00</t>
  </si>
  <si>
    <t>+15m 48s SF</t>
  </si>
  <si>
    <t>2022-10-25 11:44:04.527287+00:00</t>
  </si>
  <si>
    <t>+15m 55s SF</t>
  </si>
  <si>
    <t>2022-10-26 11:43:58.093921+00:00</t>
  </si>
  <si>
    <t>+16m 2s SF</t>
  </si>
  <si>
    <t>2022-10-27 11:43:52.390129+00:00</t>
  </si>
  <si>
    <t>+16m 8s SF</t>
  </si>
  <si>
    <t>2022-10-28 11:43:47.424041+00:00</t>
  </si>
  <si>
    <t>+16m 13s SF</t>
  </si>
  <si>
    <t>2022-10-29 11:43:43.207999+00:00</t>
  </si>
  <si>
    <t>+16m 17s SF</t>
  </si>
  <si>
    <t>2022-10-30 11:43:39.740168+00:00</t>
  </si>
  <si>
    <t>+16m 20s SF</t>
  </si>
  <si>
    <t>2022-10-31 11:43:37.034304+00:00</t>
  </si>
  <si>
    <t>+16m 23s SF</t>
  </si>
  <si>
    <t>2022-11-01 11:43:35.099198+00:00</t>
  </si>
  <si>
    <t>+16m 25s SF</t>
  </si>
  <si>
    <t>2022-11-02 11:43:33.944106+00:00</t>
  </si>
  <si>
    <t>+16m 26s SF</t>
  </si>
  <si>
    <t>2022-11-03 11:43:33.578645+00:00</t>
  </si>
  <si>
    <t>2022-11-04 11:43:34.008177+00:00</t>
  </si>
  <si>
    <t>-15° 21' 05.8"</t>
  </si>
  <si>
    <t>2022-11-05 11:43:35.255827+00:00</t>
  </si>
  <si>
    <t>2022-11-06 11:43:37.317810+00:00</t>
  </si>
  <si>
    <t>2022-11-07 11:43:40.207627+00:00</t>
  </si>
  <si>
    <t>2022-11-08 11:43:43.933632+00:00</t>
  </si>
  <si>
    <t>+16m 16s SF</t>
  </si>
  <si>
    <t>2022-11-09 11:43:48.503254+00:00</t>
  </si>
  <si>
    <t>+16m 11s SF</t>
  </si>
  <si>
    <t>2022-11-10 11:43:53.922846+00:00</t>
  </si>
  <si>
    <t>+16m 6s SF</t>
  </si>
  <si>
    <t>-17° 07' 18.2"</t>
  </si>
  <si>
    <t>2022-11-11 11:44:00.197545+00:00</t>
  </si>
  <si>
    <t>+16m 0s SF</t>
  </si>
  <si>
    <t>2022-11-12 11:44:07.331180+00:00</t>
  </si>
  <si>
    <t>+15m 53s SF</t>
  </si>
  <si>
    <t>-17° 40' 26.7"</t>
  </si>
  <si>
    <t>2022-11-13 11:44:15.326233+00:00</t>
  </si>
  <si>
    <t>+15m 45s SF</t>
  </si>
  <si>
    <t>2022-11-14 11:44:24.183788+00:00</t>
  </si>
  <si>
    <t>+15m 36s SF</t>
  </si>
  <si>
    <t>2022-11-15 11:44:33.903513+00:00</t>
  </si>
  <si>
    <t>+15m 26s SF</t>
  </si>
  <si>
    <t>2022-11-16 11:44:44.483632+00:00</t>
  </si>
  <si>
    <t>+15m 16s SF</t>
  </si>
  <si>
    <t>2022-11-17 11:44:55.920868+00:00</t>
  </si>
  <si>
    <t>+15m 4s SF</t>
  </si>
  <si>
    <t>2022-11-18 11:45:08.210376+00:00</t>
  </si>
  <si>
    <t>+14m 52s SF</t>
  </si>
  <si>
    <t>2022-11-19 11:45:21.345630+00:00</t>
  </si>
  <si>
    <t>-19° 26' 31.7"</t>
  </si>
  <si>
    <t>2022-11-20 11:45:35.318261+00:00</t>
  </si>
  <si>
    <t>+14m 25s SF</t>
  </si>
  <si>
    <t>-19° 40' 20.3"</t>
  </si>
  <si>
    <t>2022-11-21 11:45:50.117892+00:00</t>
  </si>
  <si>
    <t>+14m 10s SF</t>
  </si>
  <si>
    <t>2022-11-22 11:46:05.731979+00:00</t>
  </si>
  <si>
    <t>+13m 54s SF</t>
  </si>
  <si>
    <t>2022-11-23 11:46:22.145746+00:00</t>
  </si>
  <si>
    <t>+13m 38s SF</t>
  </si>
  <si>
    <t>2022-11-24 11:46:39.342282+00:00</t>
  </si>
  <si>
    <t>+13m 21s SF</t>
  </si>
  <si>
    <t>2022-11-25 11:46:57.302864+00:00</t>
  </si>
  <si>
    <t>+13m 3s SF</t>
  </si>
  <si>
    <t>2022-11-26 11:47:16.007479+00:00</t>
  </si>
  <si>
    <t>2022-11-27 11:47:35.435425+00:00</t>
  </si>
  <si>
    <t>+12m 25s SF</t>
  </si>
  <si>
    <t>2022-11-28 11:47:55.565848+00:00</t>
  </si>
  <si>
    <t>+12m 4s SF</t>
  </si>
  <si>
    <t>2022-11-29 11:48:16.378071+00:00</t>
  </si>
  <si>
    <t>+11m 44s SF</t>
  </si>
  <si>
    <t>-21° 27' 52.8"</t>
  </si>
  <si>
    <t>2022-11-30 11:48:37.851692+00:00</t>
  </si>
  <si>
    <t>+11m 22s SF</t>
  </si>
  <si>
    <t>2022-12-01 11:48:59.966522+00:00</t>
  </si>
  <si>
    <t>+11m 0s SF</t>
  </si>
  <si>
    <t>2022-12-02 11:49:22.702423+00:00</t>
  </si>
  <si>
    <t>+10m 37s SF</t>
  </si>
  <si>
    <t>2022-12-03 11:49:46.033986+00:00</t>
  </si>
  <si>
    <t>+10m 14s SF</t>
  </si>
  <si>
    <t>-22° 05' 18.0"</t>
  </si>
  <si>
    <t>2022-12-04 11:50:09.950780+00:00</t>
  </si>
  <si>
    <t>+9m 50s SF</t>
  </si>
  <si>
    <t>2022-12-05 11:50:34.426809+00:00</t>
  </si>
  <si>
    <t>+9m 26s SF</t>
  </si>
  <si>
    <t>2022-12-06 11:50:59.440435+00:00</t>
  </si>
  <si>
    <t>+9m 1s SF</t>
  </si>
  <si>
    <t>2022-12-07 11:51:24.969300+00:00</t>
  </si>
  <si>
    <t>+8m 35s SF</t>
  </si>
  <si>
    <t>2022-12-08 11:51:50.990229+00:00</t>
  </si>
  <si>
    <t>+8m 9s SF</t>
  </si>
  <si>
    <t>2022-12-09 11:52:17.479149+00:00</t>
  </si>
  <si>
    <t>+7m 43s SF</t>
  </si>
  <si>
    <t>2022-12-10 11:52:44.411031+00:00</t>
  </si>
  <si>
    <t>2022-12-11 11:53:11.764845+00:00</t>
  </si>
  <si>
    <t>+6m 48s SF</t>
  </si>
  <si>
    <t>-22° 59' 26.2"</t>
  </si>
  <si>
    <t>2022-12-12 11:53:39.503385+00:00</t>
  </si>
  <si>
    <t>+6m 21s SF</t>
  </si>
  <si>
    <t>2022-12-13 11:54:07.603798+00:00</t>
  </si>
  <si>
    <t>+5m 52s SF</t>
  </si>
  <si>
    <t>2022-12-14 11:54:36.037083+00:00</t>
  </si>
  <si>
    <t>+5m 24s SF</t>
  </si>
  <si>
    <t>2022-12-15 11:55:04.773278+00:00</t>
  </si>
  <si>
    <t>+4m 55s SF</t>
  </si>
  <si>
    <t>2022-12-16 11:55:33.781462+00:00</t>
  </si>
  <si>
    <t>-23° 18' 37.9"</t>
  </si>
  <si>
    <t>2022-12-17 11:56:03.029719+00:00</t>
  </si>
  <si>
    <t>+3m 57s SF</t>
  </si>
  <si>
    <t>2022-12-18 11:56:32.485070+00:00</t>
  </si>
  <si>
    <t>+3m 28s SF</t>
  </si>
  <si>
    <t>2022-12-19 11:57:02.113344+00:00</t>
  </si>
  <si>
    <t>+2m 58s SF</t>
  </si>
  <si>
    <t>2022-12-20 11:57:31.879025+00:00</t>
  </si>
  <si>
    <t>+2m 28s SF</t>
  </si>
  <si>
    <t>2022-12-21 11:58:01.745112+00:00</t>
  </si>
  <si>
    <t>2022-12-22 11:58:31.673087+00:00</t>
  </si>
  <si>
    <t>2022-12-23 11:59:01.623088+00:00</t>
  </si>
  <si>
    <t>+0m 58s SF</t>
  </si>
  <si>
    <t>2022-12-24 11:59:31.549924+00:00</t>
  </si>
  <si>
    <t>+0m 28s SF</t>
  </si>
  <si>
    <t>2022-12-25 12:00:01.426209+00:00</t>
  </si>
  <si>
    <t>-0m 1s SS</t>
  </si>
  <si>
    <t>2022-12-26 12:00:31.198439+00:00</t>
  </si>
  <si>
    <t>2022-12-27 12:01:00.832350+00:00</t>
  </si>
  <si>
    <t>-1m 1s SS</t>
  </si>
  <si>
    <t>2022-12-28 12:01:30.291055+00:00</t>
  </si>
  <si>
    <t>-1m 30s SS</t>
  </si>
  <si>
    <t>2022-12-29 12:01:59.539547+00:00</t>
  </si>
  <si>
    <t>-2m 0s SS</t>
  </si>
  <si>
    <t>2022-12-30 12:02:28.544582+00:00</t>
  </si>
  <si>
    <t>-2m 29s SS</t>
  </si>
  <si>
    <t>2022-12-31 12:02:57.274490+00:00</t>
  </si>
  <si>
    <t>-2m 57s SS</t>
  </si>
  <si>
    <t>-23° 06' 04.3"</t>
  </si>
  <si>
    <t>2023-01-01 12:03:25.698992+00:00</t>
  </si>
  <si>
    <t>-3m 26s SS</t>
  </si>
  <si>
    <t>2023-01-02 12:03:53.789035+00:00</t>
  </si>
  <si>
    <t>-3m 54s SS</t>
  </si>
  <si>
    <t>2023-01-03 12:04:21.516678+00:00</t>
  </si>
  <si>
    <t>-4m 22s SS</t>
  </si>
  <si>
    <t>2023-01-04 12:04:48.855008+00:00</t>
  </si>
  <si>
    <t>2023-01-05 12:05:15.778081+00:00</t>
  </si>
  <si>
    <t>-5m 16s SS</t>
  </si>
  <si>
    <t>2023-01-06 12:05:42.260867+00:00</t>
  </si>
  <si>
    <t>-5m 42s SS</t>
  </si>
  <si>
    <t>2023-01-07 12:06:08.279212+00:00</t>
  </si>
  <si>
    <t>-6m 8s SS</t>
  </si>
  <si>
    <t>2023-01-08 12:06:33.809794+00:00</t>
  </si>
  <si>
    <t>2023-01-09 12:06:58.830081+00:00</t>
  </si>
  <si>
    <t>-6m 59s SS</t>
  </si>
  <si>
    <t>2023-01-10 12:07:23.318298+00:00</t>
  </si>
  <si>
    <t>-7m 23s SS</t>
  </si>
  <si>
    <t>2023-01-11 12:07:47.253399+00:00</t>
  </si>
  <si>
    <t>-7m 47s SS</t>
  </si>
  <si>
    <t>-21° 50' 54.9"</t>
  </si>
  <si>
    <t>2023-01-12 12:08:10.615043+00:00</t>
  </si>
  <si>
    <t>-8m 11s SS</t>
  </si>
  <si>
    <t>2023-01-13 12:08:33.383554+00:00</t>
  </si>
  <si>
    <t>-8m 33s SS</t>
  </si>
  <si>
    <t>2023-01-14 12:08:55.539884+00:00</t>
  </si>
  <si>
    <t>-8m 56s SS</t>
  </si>
  <si>
    <t>2023-01-15 12:09:17.065514+00:00</t>
  </si>
  <si>
    <t>-9m 17s SS</t>
  </si>
  <si>
    <t>2023-01-16 12:09:37.942342+00:00</t>
  </si>
  <si>
    <t>-9m 38s SS</t>
  </si>
  <si>
    <t>2023-01-17 12:09:58.152493+00:00</t>
  </si>
  <si>
    <t>-9m 58s SS</t>
  </si>
  <si>
    <t>2023-01-18 12:10:17.678124+00:00</t>
  </si>
  <si>
    <t>-10m 18s SS</t>
  </si>
  <si>
    <t>2023-01-19 12:10:36.501210+00:00</t>
  </si>
  <si>
    <t>-10m 37s SS</t>
  </si>
  <si>
    <t>2023-01-20 12:10:54.603452+00:00</t>
  </si>
  <si>
    <t>-10m 55s SS</t>
  </si>
  <si>
    <t>-20° 11' 01.3"</t>
  </si>
  <si>
    <t>2023-01-21 12:11:11.966392+00:00</t>
  </si>
  <si>
    <t>-11m 12s SS</t>
  </si>
  <si>
    <t>2023-01-22 12:11:28.571867+00:00</t>
  </si>
  <si>
    <t>-11m 29s SS</t>
  </si>
  <si>
    <t>2023-01-23 12:11:44.402708+00:00</t>
  </si>
  <si>
    <t>-11m 44s SS</t>
  </si>
  <si>
    <t>2023-01-24 12:11:59.443512+00:00</t>
  </si>
  <si>
    <t>-11m 59s SS</t>
  </si>
  <si>
    <t>2023-01-25 12:12:13.681211+00:00</t>
  </si>
  <si>
    <t>-12m 14s SS</t>
  </si>
  <si>
    <t>2023-01-26 12:12:27.105327+00:00</t>
  </si>
  <si>
    <t>-12m 27s SS</t>
  </si>
  <si>
    <t>2023-01-27 12:12:39.707935+00:00</t>
  </si>
  <si>
    <t>-12m 40s SS</t>
  </si>
  <si>
    <t>2023-01-28 12:12:51.483459+00:00</t>
  </si>
  <si>
    <t>-18° 16' 19.9"</t>
  </si>
  <si>
    <t>2023-01-29 12:13:02.428397+00:00</t>
  </si>
  <si>
    <t>-13m 2s SS</t>
  </si>
  <si>
    <t>2023-01-30 12:13:12.541061+00:00</t>
  </si>
  <si>
    <t>-13m 13s SS</t>
  </si>
  <si>
    <t>2023-01-31 12:13:21.821370+00:00</t>
  </si>
  <si>
    <t>-13m 22s SS</t>
  </si>
  <si>
    <t>-17° 27' 43.6"</t>
  </si>
  <si>
    <t>2023-02-01 12:13:30.270684+00:00</t>
  </si>
  <si>
    <t>-13m 30s SS</t>
  </si>
  <si>
    <t>-17° 10' 54.0"</t>
  </si>
  <si>
    <t>2023-02-02 12:13:37.891687+00:00</t>
  </si>
  <si>
    <t>-13m 38s SS</t>
  </si>
  <si>
    <t>2023-02-03 12:13:44.688295+00:00</t>
  </si>
  <si>
    <t>-13m 45s SS</t>
  </si>
  <si>
    <t>2023-02-04 12:13:50.665574+00:00</t>
  </si>
  <si>
    <t>-13m 51s SS</t>
  </si>
  <si>
    <t>-16° 18' 38.3"</t>
  </si>
  <si>
    <t>2023-02-05 12:13:55.829659+00:00</t>
  </si>
  <si>
    <t>-13m 56s SS</t>
  </si>
  <si>
    <t>2023-02-06 12:14:00.187671+00:00</t>
  </si>
  <si>
    <t>-14m 0s SS</t>
  </si>
  <si>
    <t>2023-02-07 12:14:03.747623+00:00</t>
  </si>
  <si>
    <t>-14m 4s SS</t>
  </si>
  <si>
    <t>2023-02-08 12:14:06.518320+00:00</t>
  </si>
  <si>
    <t>-14m 7s SS</t>
  </si>
  <si>
    <t>-15° 05' 02.8"</t>
  </si>
  <si>
    <t>2023-02-09 12:14:08.509272+00:00</t>
  </si>
  <si>
    <t>-14° 45' 59.7"</t>
  </si>
  <si>
    <t>2023-02-10 12:14:09.730578+00:00</t>
  </si>
  <si>
    <t>-14° 26' 41.7"</t>
  </si>
  <si>
    <t>2023-02-11 12:14:10.192821+00:00</t>
  </si>
  <si>
    <t>2023-02-12 12:14:09.906945+00:00</t>
  </si>
  <si>
    <t>2023-02-13 12:14:08.883962+00:00</t>
  </si>
  <si>
    <t>-13° 27' 22.2"</t>
  </si>
  <si>
    <t>2023-02-14 12:14:07.135492+00:00</t>
  </si>
  <si>
    <t>2023-02-15 12:14:04.672142+00:00</t>
  </si>
  <si>
    <t>2023-02-16 12:14:01.504702+00:00</t>
  </si>
  <si>
    <t>-12° 26' 02.9"</t>
  </si>
  <si>
    <t>2023-02-17 12:13:57.643230+00:00</t>
  </si>
  <si>
    <t>2023-02-18 12:13:53.097108+00:00</t>
  </si>
  <si>
    <t>2023-02-19 12:13:47.875146+00:00</t>
  </si>
  <si>
    <t>-13m 48s SS</t>
  </si>
  <si>
    <t>2023-02-20 12:13:41.991413+00:00</t>
  </si>
  <si>
    <t>-13m 42s SS</t>
  </si>
  <si>
    <t>2023-02-21 12:13:35.444947+00:00</t>
  </si>
  <si>
    <t>-13m 35s SS</t>
  </si>
  <si>
    <t>2023-02-22 12:13:28.250155+00:00</t>
  </si>
  <si>
    <t>-13m 28s SS</t>
  </si>
  <si>
    <t>2023-02-23 12:13:20.418308+00:00</t>
  </si>
  <si>
    <t>-13m 20s SS</t>
  </si>
  <si>
    <t>-09° 56' 15.6"</t>
  </si>
  <si>
    <t>2023-02-24 12:13:11.962256+00:00</t>
  </si>
  <si>
    <t>-13m 12s SS</t>
  </si>
  <si>
    <t>2023-02-25 12:13:02.896419+00:00</t>
  </si>
  <si>
    <t>-13m 3s SS</t>
  </si>
  <si>
    <t>2023-02-26 12:12:53.236621+00:00</t>
  </si>
  <si>
    <t>-12m 53s SS</t>
  </si>
  <si>
    <t>2023-02-27 12:12:42.999886+00:00</t>
  </si>
  <si>
    <t>-08° 27' 12.0"</t>
  </si>
  <si>
    <t>2023-02-28 12:12:32.204228+00:00</t>
  </si>
  <si>
    <t>-12m 32s SS</t>
  </si>
  <si>
    <t>-08° 04' 36.7"</t>
  </si>
  <si>
    <t>2023-03-01 12:12:20.868485+00:00</t>
  </si>
  <si>
    <t>-12m 21s SS</t>
  </si>
  <si>
    <t>-07° 41' 54.5"</t>
  </si>
  <si>
    <t>2023-03-02 12:12:09.012195+00:00</t>
  </si>
  <si>
    <t>-12m 9s SS</t>
  </si>
  <si>
    <t>2023-03-03 12:11:56.655523+00:00</t>
  </si>
  <si>
    <t>-11m 57s SS</t>
  </si>
  <si>
    <t>-06° 56' 10.8"</t>
  </si>
  <si>
    <t>2023-03-04 12:11:43.819185+00:00</t>
  </si>
  <si>
    <t>-06° 33' 10.1"</t>
  </si>
  <si>
    <t>2023-03-05 12:11:30.524421+00:00</t>
  </si>
  <si>
    <t>-11m 31s SS</t>
  </si>
  <si>
    <t>-06° 10' 04.0"</t>
  </si>
  <si>
    <t>2023-03-06 12:11:16.792931+00:00</t>
  </si>
  <si>
    <t>-11m 17s SS</t>
  </si>
  <si>
    <t>2023-03-07 12:11:02.646831+00:00</t>
  </si>
  <si>
    <t>-11m 3s SS</t>
  </si>
  <si>
    <t>-05° 23' 37.1"</t>
  </si>
  <si>
    <t>2023-03-08 12:10:48.108577+00:00</t>
  </si>
  <si>
    <t>-10m 48s SS</t>
  </si>
  <si>
    <t>-05° 00' 17.0"</t>
  </si>
  <si>
    <t>2023-03-09 12:10:33.200877+00:00</t>
  </si>
  <si>
    <t>-10m 33s SS</t>
  </si>
  <si>
    <t>-04° 36' 53.0"</t>
  </si>
  <si>
    <t>2023-03-10 12:10:17.941446+00:00</t>
  </si>
  <si>
    <t>2023-03-11 12:10:02.363133+00:00</t>
  </si>
  <si>
    <t>-10m 2s SS</t>
  </si>
  <si>
    <t>-03° 49' 54.6"</t>
  </si>
  <si>
    <t>2023-03-12 12:09:46.483872+00:00</t>
  </si>
  <si>
    <t>-9m 46s SS</t>
  </si>
  <si>
    <t>2023-03-13 12:09:30.326166+00:00</t>
  </si>
  <si>
    <t>-9m 30s SS</t>
  </si>
  <si>
    <t>2023-03-14 12:09:13.912097+00:00</t>
  </si>
  <si>
    <t>-9m 14s SS</t>
  </si>
  <si>
    <t>2023-03-15 12:08:57.263156+00:00</t>
  </si>
  <si>
    <t>-8m 57s SS</t>
  </si>
  <si>
    <t>-02° 15' 26.2"</t>
  </si>
  <si>
    <t>2023-03-16 12:08:40.400078+00:00</t>
  </si>
  <si>
    <t>-01° 51' 44.6"</t>
  </si>
  <si>
    <t>2023-03-17 12:08:23.342662+00:00</t>
  </si>
  <si>
    <t>-8m 23s SS</t>
  </si>
  <si>
    <t>-01° 28' 01.9"</t>
  </si>
  <si>
    <t>2023-03-18 12:08:06.109649+00:00</t>
  </si>
  <si>
    <t>-8m 6s SS</t>
  </si>
  <si>
    <t>2023-03-19 12:07:48.718687+00:00</t>
  </si>
  <si>
    <t>-7m 49s SS</t>
  </si>
  <si>
    <t>2023-03-20 12:07:31.186457+00:00</t>
  </si>
  <si>
    <t>2023-03-21 12:07:13.528943+00:00</t>
  </si>
  <si>
    <t>-7m 14s SS</t>
  </si>
  <si>
    <t>+00° 06' 51.9"</t>
  </si>
  <si>
    <t>2023-03-22 12:06:55.761845+00:00</t>
  </si>
  <si>
    <t>-6m 56s SS</t>
  </si>
  <si>
    <t>2023-03-23 12:06:37.901015+00:00</t>
  </si>
  <si>
    <t>-6m 38s SS</t>
  </si>
  <si>
    <t>+00° 54' 15.1"</t>
  </si>
  <si>
    <t>2023-03-24 12:06:19.962811+00:00</t>
  </si>
  <si>
    <t>-6m 20s SS</t>
  </si>
  <si>
    <t>2023-03-25 12:06:01.964320+00:00</t>
  </si>
  <si>
    <t>-6m 2s SS</t>
  </si>
  <si>
    <t>+01° 41' 31.6"</t>
  </si>
  <si>
    <t>2023-03-26 12:05:43.923409+00:00</t>
  </si>
  <si>
    <t>-5m 44s SS</t>
  </si>
  <si>
    <t>+02° 05' 06.4"</t>
  </si>
  <si>
    <t>2023-03-27 12:05:25.858676+00:00</t>
  </si>
  <si>
    <t>2023-03-28 12:05:07.789320+00:00</t>
  </si>
  <si>
    <t>2023-03-29 12:04:49.735015+00:00</t>
  </si>
  <si>
    <t>-4m 50s SS</t>
  </si>
  <si>
    <t>2023-03-30 12:04:31.715801+00:00</t>
  </si>
  <si>
    <t>-4m 32s SS</t>
  </si>
  <si>
    <t>+03° 38' 53.8"</t>
  </si>
  <si>
    <t>2023-03-31 12:04:13.752003+00:00</t>
  </si>
  <si>
    <t>-4m 14s SS</t>
  </si>
  <si>
    <t>2023-04-01 12:03:55.864181+00:00</t>
  </si>
  <si>
    <t>-3m 56s SS</t>
  </si>
  <si>
    <t>+04° 25' 23.5"</t>
  </si>
  <si>
    <t>2023-04-02 12:03:38.073101+00:00</t>
  </si>
  <si>
    <t>2023-04-03 12:03:20.399732+00:00</t>
  </si>
  <si>
    <t>-3m 20s SS</t>
  </si>
  <si>
    <t>2023-04-04 12:03:02.870176+00:00</t>
  </si>
  <si>
    <t>-3m 3s SS</t>
  </si>
  <si>
    <t>+05° 34' 30.4"</t>
  </si>
  <si>
    <t>2023-04-05 12:02:45.495265+00:00</t>
  </si>
  <si>
    <t>-2m 45s SS</t>
  </si>
  <si>
    <t>2023-04-06 12:02:28.301930+00:00</t>
  </si>
  <si>
    <t>+06° 20' 06.1"</t>
  </si>
  <si>
    <t>2023-04-07 12:02:11.311642+00:00</t>
  </si>
  <si>
    <t>-2m 11s SS</t>
  </si>
  <si>
    <t>2023-04-08 12:01:54.545757+00:00</t>
  </si>
  <si>
    <t>-1m 55s SS</t>
  </si>
  <si>
    <t>2023-04-09 12:01:38.022215+00:00</t>
  </si>
  <si>
    <t>-1m 38s SS</t>
  </si>
  <si>
    <t>+07° 27' 39.8"</t>
  </si>
  <si>
    <t>2023-04-10 12:01:21.772556+00:00</t>
  </si>
  <si>
    <t>-1m 22s SS</t>
  </si>
  <si>
    <t>2023-04-11 12:01:05.801839+00:00</t>
  </si>
  <si>
    <t>-1m 6s SS</t>
  </si>
  <si>
    <t>2023-04-12 12:00:50.143104+00:00</t>
  </si>
  <si>
    <t>-0m 50s SS</t>
  </si>
  <si>
    <t>2023-04-13 12:00:34.800601+00:00</t>
  </si>
  <si>
    <t>-0m 35s SS</t>
  </si>
  <si>
    <t>2023-04-14 12:00:19.801335+00:00</t>
  </si>
  <si>
    <t>-0m 20s SS</t>
  </si>
  <si>
    <t>2023-04-15 12:00:05.157874+00:00</t>
  </si>
  <si>
    <t>-0m 5s SS</t>
  </si>
  <si>
    <t>+09° 39' 16.7"</t>
  </si>
  <si>
    <t>2023-04-16 11:59:50.889731+00:00</t>
  </si>
  <si>
    <t>+0m 9s SF</t>
  </si>
  <si>
    <t>2023-04-17 11:59:36.999849+00:00</t>
  </si>
  <si>
    <t>+0m 23s SF</t>
  </si>
  <si>
    <t>2023-04-18 11:59:23.503918+00:00</t>
  </si>
  <si>
    <t>+0m 36s SF</t>
  </si>
  <si>
    <t>2023-04-19 11:59:10.412171+00:00</t>
  </si>
  <si>
    <t>+0m 50s SF</t>
  </si>
  <si>
    <t>+11° 03' 56.4"</t>
  </si>
  <si>
    <t>2023-04-20 11:58:57.729007+00:00</t>
  </si>
  <si>
    <t>+1m 2s SF</t>
  </si>
  <si>
    <t>2023-04-21 11:58:45.472902+00:00</t>
  </si>
  <si>
    <t>+1m 15s SF</t>
  </si>
  <si>
    <t>+11° 45' 12.2"</t>
  </si>
  <si>
    <t>2023-04-22 11:58:33.648370+00:00</t>
  </si>
  <si>
    <t>+1m 26s SF</t>
  </si>
  <si>
    <t>+12° 05' 32.8"</t>
  </si>
  <si>
    <t>2023-04-23 11:58:22.264321+00:00</t>
  </si>
  <si>
    <t>+12° 25' 41.4"</t>
  </si>
  <si>
    <t>2023-04-24 11:58:11.329833+00:00</t>
  </si>
  <si>
    <t>+1m 49s SF</t>
  </si>
  <si>
    <t>2023-04-25 11:58:00.854151+00:00</t>
  </si>
  <si>
    <t>+1m 59s SF</t>
  </si>
  <si>
    <t>2023-04-26 11:57:50.851697+00:00</t>
  </si>
  <si>
    <t>+2m 9s SF</t>
  </si>
  <si>
    <t>2023-04-27 11:57:41.322096+00:00</t>
  </si>
  <si>
    <t>+2m 19s SF</t>
  </si>
  <si>
    <t>2023-04-28 11:57:32.279361+00:00</t>
  </si>
  <si>
    <t>+14° 03' 12.5"</t>
  </si>
  <si>
    <t>2023-04-29 11:57:23.732691+00:00</t>
  </si>
  <si>
    <t>+2m 36s SF</t>
  </si>
  <si>
    <t>+14° 22' 02.0"</t>
  </si>
  <si>
    <t>2023-04-30 11:57:15.691178+00:00</t>
  </si>
  <si>
    <t>+2m 44s SF</t>
  </si>
  <si>
    <t>+14° 40' 37.2"</t>
  </si>
  <si>
    <t>2023-05-01 11:57:08.163820+00:00</t>
  </si>
  <si>
    <t>+2m 52s SF</t>
  </si>
  <si>
    <t>+14° 58' 57.8"</t>
  </si>
  <si>
    <t>2023-05-02 11:57:01.159533+00:00</t>
  </si>
  <si>
    <t>+2m 59s SF</t>
  </si>
  <si>
    <t>2023-05-03 11:56:54.682101+00:00</t>
  </si>
  <si>
    <t>+3m 5s SF</t>
  </si>
  <si>
    <t>+15° 34' 53.9"</t>
  </si>
  <si>
    <t>2023-05-04 11:56:48.750069+00:00</t>
  </si>
  <si>
    <t>+3m 11s SF</t>
  </si>
  <si>
    <t>2023-05-05 11:56:43.367299+00:00</t>
  </si>
  <si>
    <t>2023-05-06 11:56:38.542236+00:00</t>
  </si>
  <si>
    <t>2023-05-07 11:56:34.282971+00:00</t>
  </si>
  <si>
    <t>+3m 26s SF</t>
  </si>
  <si>
    <t>+16° 43' 37.6"</t>
  </si>
  <si>
    <t>2023-05-08 11:56:30.597030+00:00</t>
  </si>
  <si>
    <t>2023-05-09 11:56:27.491104+00:00</t>
  </si>
  <si>
    <t>+17° 16' 20.7"</t>
  </si>
  <si>
    <t>2023-05-10 11:56:24.970704+00:00</t>
  </si>
  <si>
    <t>2023-05-11 11:56:23.039913+00:00</t>
  </si>
  <si>
    <t>2023-05-12 11:56:21.701181+00:00</t>
  </si>
  <si>
    <t>+18° 03' 15.5"</t>
  </si>
  <si>
    <t>2023-05-13 11:56:20.955088+00:00</t>
  </si>
  <si>
    <t>+3m 39s SF</t>
  </si>
  <si>
    <t>+18° 18' 18.0"</t>
  </si>
  <si>
    <t>2023-05-14 11:56:20.800339+00:00</t>
  </si>
  <si>
    <t>+18° 33' 02.1"</t>
  </si>
  <si>
    <t>2023-05-15 11:56:21.233716+00:00</t>
  </si>
  <si>
    <t>2023-05-16 11:56:22.250167+00:00</t>
  </si>
  <si>
    <t>2023-05-17 11:56:23.847528+00:00</t>
  </si>
  <si>
    <t>2023-05-18 11:56:26.007770+00:00</t>
  </si>
  <si>
    <t>2023-05-19 11:56:28.721653+00:00</t>
  </si>
  <si>
    <t>+3m 31s SF</t>
  </si>
  <si>
    <t>+19° 41' 56.5"</t>
  </si>
  <si>
    <t>2023-05-20 11:56:31.989035+00:00</t>
  </si>
  <si>
    <t>2023-05-21 11:56:35.797796+00:00</t>
  </si>
  <si>
    <t>+3m 24s SF</t>
  </si>
  <si>
    <t>2023-05-22 11:56:40.122563+00:00</t>
  </si>
  <si>
    <t>+3m 20s SF</t>
  </si>
  <si>
    <t>+20° 19' 17.7"</t>
  </si>
  <si>
    <t>2023-05-23 11:56:44.970641+00:00</t>
  </si>
  <si>
    <t>+3m 15s SF</t>
  </si>
  <si>
    <t>2023-05-24 11:56:50.311555+00:00</t>
  </si>
  <si>
    <t>+3m 10s SF</t>
  </si>
  <si>
    <t>2023-05-25 11:56:56.146832+00:00</t>
  </si>
  <si>
    <t>+3m 4s SF</t>
  </si>
  <si>
    <t>2023-05-26 11:57:02.458911+00:00</t>
  </si>
  <si>
    <t>2023-05-27 11:57:09.235012+00:00</t>
  </si>
  <si>
    <t>+2m 51s SF</t>
  </si>
  <si>
    <t>+21° 14' 31.0"</t>
  </si>
  <si>
    <t>2023-05-28 11:57:16.462029+00:00</t>
  </si>
  <si>
    <t>2023-05-29 11:57:24.126607+00:00</t>
  </si>
  <si>
    <t>2023-05-30 11:57:32.215297+00:00</t>
  </si>
  <si>
    <t>+21° 43' 15.6"</t>
  </si>
  <si>
    <t>2023-05-31 11:57:40.714611+00:00</t>
  </si>
  <si>
    <t>2023-06-01 11:57:49.611114+00:00</t>
  </si>
  <si>
    <t>+2m 10s SF</t>
  </si>
  <si>
    <t>2023-06-02 11:57:58.891479+00:00</t>
  </si>
  <si>
    <t>+2m 1s SF</t>
  </si>
  <si>
    <t>2023-06-03 11:58:08.542570+00:00</t>
  </si>
  <si>
    <t>2023-06-04 11:58:18.551327+00:00</t>
  </si>
  <si>
    <t>+1m 41s SF</t>
  </si>
  <si>
    <t>2023-06-05 11:58:28.910464+00:00</t>
  </si>
  <si>
    <t>+1m 31s SF</t>
  </si>
  <si>
    <t>2023-06-06 11:58:39.590666+00:00</t>
  </si>
  <si>
    <t>+1m 20s SF</t>
  </si>
  <si>
    <t>2023-06-07 11:58:50.597816+00:00</t>
  </si>
  <si>
    <t>+1m 9s SF</t>
  </si>
  <si>
    <t>2023-06-08 11:59:01.895995+00:00</t>
  </si>
  <si>
    <t>2023-06-09 11:59:13.483921+00:00</t>
  </si>
  <si>
    <t>+0m 47s SF</t>
  </si>
  <si>
    <t>2023-06-10 11:59:25.342500+00:00</t>
  </si>
  <si>
    <t>+0m 35s SF</t>
  </si>
  <si>
    <t>2023-06-11 11:59:37.436722+00:00</t>
  </si>
  <si>
    <t>2023-06-12 11:59:49.759736+00:00</t>
  </si>
  <si>
    <t>+0m 10s SF</t>
  </si>
  <si>
    <t>2023-06-13 12:00:02.287740+00:00</t>
  </si>
  <si>
    <t>2023-06-14 12:00:14.980996+00:00</t>
  </si>
  <si>
    <t>-0m 15s SS</t>
  </si>
  <si>
    <t>2023-06-15 12:00:27.828628+00:00</t>
  </si>
  <si>
    <t>-0m 28s SS</t>
  </si>
  <si>
    <t>2023-06-16 12:00:40.803549+00:00</t>
  </si>
  <si>
    <t>-0m 41s SS</t>
  </si>
  <si>
    <t>2023-06-17 12:00:53.863710+00:00</t>
  </si>
  <si>
    <t>-0m 54s SS</t>
  </si>
  <si>
    <t>2023-06-18 12:01:07.001188+00:00</t>
  </si>
  <si>
    <t>-1m 7s SS</t>
  </si>
  <si>
    <t>+23° 23' 38.6"</t>
  </si>
  <si>
    <t>2023-06-19 12:01:20.173568+00:00</t>
  </si>
  <si>
    <t>-1m 20s SS</t>
  </si>
  <si>
    <t>2023-06-20 12:01:33.358130+00:00</t>
  </si>
  <si>
    <t>2023-06-21 12:01:46.522667+00:00</t>
  </si>
  <si>
    <t>-1m 47s SS</t>
  </si>
  <si>
    <t>2023-06-22 12:01:59.650509+00:00</t>
  </si>
  <si>
    <t>2023-06-23 12:02:12.709981+00:00</t>
  </si>
  <si>
    <t>-2m 13s SS</t>
  </si>
  <si>
    <t>2023-06-24 12:02:25.675488+00:00</t>
  </si>
  <si>
    <t>-2m 26s SS</t>
  </si>
  <si>
    <t>2023-06-25 12:02:38.521739+00:00</t>
  </si>
  <si>
    <t>2023-06-26 12:02:51.229185+00:00</t>
  </si>
  <si>
    <t>-2m 51s SS</t>
  </si>
  <si>
    <t>2023-06-27 12:03:03.759074+00:00</t>
  </si>
  <si>
    <t>-3m 4s SS</t>
  </si>
  <si>
    <t>2023-06-28 12:03:16.108566+00:00</t>
  </si>
  <si>
    <t>-3m 16s SS</t>
  </si>
  <si>
    <t>2023-06-29 12:03:28.241007+00:00</t>
  </si>
  <si>
    <t>-3m 28s SS</t>
  </si>
  <si>
    <t>2023-06-30 12:03:40.140824+00:00</t>
  </si>
  <si>
    <t>-3m 40s SS</t>
  </si>
  <si>
    <t>2023-07-01 12:03:51.788848+00:00</t>
  </si>
  <si>
    <t>2023-07-02 12:04:03.167333+00:00</t>
  </si>
  <si>
    <t>-4m 3s SS</t>
  </si>
  <si>
    <t>2023-07-03 12:04:14.259901+00:00</t>
  </si>
  <si>
    <t>2023-07-04 12:04:25.051285+00:00</t>
  </si>
  <si>
    <t>-4m 25s SS</t>
  </si>
  <si>
    <t>2023-07-05 12:04:35.526891+00:00</t>
  </si>
  <si>
    <t>-4m 36s SS</t>
  </si>
  <si>
    <t>2023-07-06 12:04:45.672199+00:00</t>
  </si>
  <si>
    <t>2023-07-07 12:04:55.472407+00:00</t>
  </si>
  <si>
    <t>-4m 55s SS</t>
  </si>
  <si>
    <t>2023-07-08 12:05:04.907259+00:00</t>
  </si>
  <si>
    <t>-5m 5s SS</t>
  </si>
  <si>
    <t>2023-07-09 12:05:13.970697+00:00</t>
  </si>
  <si>
    <t>2023-07-10 12:05:22.641043+00:00</t>
  </si>
  <si>
    <t>+22° 16' 01.2"</t>
  </si>
  <si>
    <t>2023-07-11 12:05:30.901014+00:00</t>
  </si>
  <si>
    <t>-5m 31s SS</t>
  </si>
  <si>
    <t>2023-07-12 12:05:38.738255+00:00</t>
  </si>
  <si>
    <t>-5m 39s SS</t>
  </si>
  <si>
    <t>2023-07-13 12:05:46.119801+00:00</t>
  </si>
  <si>
    <t>-5m 46s SS</t>
  </si>
  <si>
    <t>2023-07-14 12:05:53.042641+00:00</t>
  </si>
  <si>
    <t>-5m 53s SS</t>
  </si>
  <si>
    <t>2023-07-15 12:05:59.490008+00:00</t>
  </si>
  <si>
    <t>-5m 59s SS</t>
  </si>
  <si>
    <t>2023-07-16 12:06:05.430195+00:00</t>
  </si>
  <si>
    <t>-6m 5s SS</t>
  </si>
  <si>
    <t>2023-07-17 12:06:10.861173+00:00</t>
  </si>
  <si>
    <t>-6m 11s SS</t>
  </si>
  <si>
    <t>2023-07-18 12:06:15.768678+00:00</t>
  </si>
  <si>
    <t>2023-07-19 12:06:20.122467+00:00</t>
  </si>
  <si>
    <t>2023-07-20 12:06:23.929478+00:00</t>
  </si>
  <si>
    <t>+20° 42' 40.7"</t>
  </si>
  <si>
    <t>2023-07-21 12:06:27.157217+00:00</t>
  </si>
  <si>
    <t>+20° 31' 21.7"</t>
  </si>
  <si>
    <t>2023-07-22 12:06:29.814298+00:00</t>
  </si>
  <si>
    <t>2023-07-23 12:06:31.871000+00:00</t>
  </si>
  <si>
    <t>2023-07-24 12:06:33.338196+00:00</t>
  </si>
  <si>
    <t>2023-07-25 12:06:34.188874+00:00</t>
  </si>
  <si>
    <t>2023-07-26 12:06:34.436295+00:00</t>
  </si>
  <si>
    <t>+19° 29' 42.2"</t>
  </si>
  <si>
    <t>2023-07-27 12:06:34.056852+00:00</t>
  </si>
  <si>
    <t>+19° 16' 23.3"</t>
  </si>
  <si>
    <t>2023-07-28 12:06:33.061236+00:00</t>
  </si>
  <si>
    <t>2023-07-29 12:06:31.449496+00:00</t>
  </si>
  <si>
    <t>2023-07-30 12:06:29.206969+00:00</t>
  </si>
  <si>
    <t>2023-07-31 12:06:26.353576+00:00</t>
  </si>
  <si>
    <t>+18° 20' 00.2"</t>
  </si>
  <si>
    <t>2023-08-01 12:06:22.885839+00:00</t>
  </si>
  <si>
    <t>2023-08-02 12:06:18.806748+00:00</t>
  </si>
  <si>
    <t>2023-08-03 12:06:14.120075+00:00</t>
  </si>
  <si>
    <t>2023-08-04 12:06:08.848258+00:00</t>
  </si>
  <si>
    <t>2023-08-05 12:06:02.983069+00:00</t>
  </si>
  <si>
    <t>+17° 02' 50.1"</t>
  </si>
  <si>
    <t>2023-08-06 12:05:56.535274+00:00</t>
  </si>
  <si>
    <t>-5m 57s SS</t>
  </si>
  <si>
    <t>2023-08-07 12:05:49.505259+00:00</t>
  </si>
  <si>
    <t>-5m 50s SS</t>
  </si>
  <si>
    <t>2023-08-08 12:05:41.908545+00:00</t>
  </si>
  <si>
    <t>2023-08-09 12:05:33.745009+00:00</t>
  </si>
  <si>
    <t>+15° 56' 06.1"</t>
  </si>
  <si>
    <t>2023-08-10 12:05:25.019338+00:00</t>
  </si>
  <si>
    <t>-5m 25s SS</t>
  </si>
  <si>
    <t>+15° 38' 45.8"</t>
  </si>
  <si>
    <t>2023-08-11 12:05:15.736217+00:00</t>
  </si>
  <si>
    <t>2023-08-12 12:05:05.900414+00:00</t>
  </si>
  <si>
    <t>-5m 6s SS</t>
  </si>
  <si>
    <t>2023-08-13 12:04:55.517006+00:00</t>
  </si>
  <si>
    <t>2023-08-14 12:04:44.596465+00:00</t>
  </si>
  <si>
    <t>-4m 45s SS</t>
  </si>
  <si>
    <t>2023-08-15 12:04:33.134439+00:00</t>
  </si>
  <si>
    <t>-4m 33s SS</t>
  </si>
  <si>
    <t>2023-08-16 12:04:21.142533+00:00</t>
  </si>
  <si>
    <t>-4m 21s SS</t>
  </si>
  <si>
    <t>+13° 49' 37.6"</t>
  </si>
  <si>
    <t>2023-08-17 12:04:08.627741+00:00</t>
  </si>
  <si>
    <t>-4m 9s SS</t>
  </si>
  <si>
    <t>+13° 30' 38.2"</t>
  </si>
  <si>
    <t>2023-08-18 12:03:55.597634+00:00</t>
  </si>
  <si>
    <t>2023-08-19 12:03:42.060451+00:00</t>
  </si>
  <si>
    <t>-3m 42s SS</t>
  </si>
  <si>
    <t>2023-08-20 12:03:28.025120+00:00</t>
  </si>
  <si>
    <t>+12° 32' 24.2"</t>
  </si>
  <si>
    <t>2023-08-21 12:03:13.496571+00:00</t>
  </si>
  <si>
    <t>-3m 14s SS</t>
  </si>
  <si>
    <t>+12° 12' 35.4"</t>
  </si>
  <si>
    <t>2023-08-22 12:02:58.495424+00:00</t>
  </si>
  <si>
    <t>-2m 58s SS</t>
  </si>
  <si>
    <t>+11° 52' 35.1"</t>
  </si>
  <si>
    <t>2023-08-23 12:02:43.027686+00:00</t>
  </si>
  <si>
    <t>-2m 43s SS</t>
  </si>
  <si>
    <t>2023-08-24 12:02:27.105724+00:00</t>
  </si>
  <si>
    <t>-2m 27s SS</t>
  </si>
  <si>
    <t>2023-08-25 12:02:10.747392+00:00</t>
  </si>
  <si>
    <t>2023-08-26 12:01:53.957285+00:00</t>
  </si>
  <si>
    <t>-1m 54s SS</t>
  </si>
  <si>
    <t>+10° 30' 45.6"</t>
  </si>
  <si>
    <t>2023-08-27 12:01:36.752624+00:00</t>
  </si>
  <si>
    <t>-1m 37s SS</t>
  </si>
  <si>
    <t>2023-08-28 12:01:19.165855+00:00</t>
  </si>
  <si>
    <t>+09° 48' 50.4"</t>
  </si>
  <si>
    <t>2023-08-29 12:01:01.196036+00:00</t>
  </si>
  <si>
    <t>+09° 27' 38.8"</t>
  </si>
  <si>
    <t>2023-08-30 12:00:42.878517+00:00</t>
  </si>
  <si>
    <t>-0m 43s SS</t>
  </si>
  <si>
    <t>+09° 06' 18.3"</t>
  </si>
  <si>
    <t>2023-08-31 12:00:24.221870+00:00</t>
  </si>
  <si>
    <t>-0m 24s SS</t>
  </si>
  <si>
    <t>+08° 44' 49.1"</t>
  </si>
  <si>
    <t>2023-09-01 12:00:05.256822+00:00</t>
  </si>
  <si>
    <t>2023-09-02 11:59:46.001910+00:00</t>
  </si>
  <si>
    <t>+0m 14s SF</t>
  </si>
  <si>
    <t>+08° 01' 25.9"</t>
  </si>
  <si>
    <t>2023-09-03 11:59:26.483728+00:00</t>
  </si>
  <si>
    <t>+0m 34s SF</t>
  </si>
  <si>
    <t>2023-09-04 11:59:06.712314+00:00</t>
  </si>
  <si>
    <t>+0m 53s SF</t>
  </si>
  <si>
    <t>+07° 17' 31.5"</t>
  </si>
  <si>
    <t>2023-09-05 11:58:46.711683+00:00</t>
  </si>
  <si>
    <t>+1m 13s SF</t>
  </si>
  <si>
    <t>+06° 55' 23.4"</t>
  </si>
  <si>
    <t>2023-09-06 11:58:26.500556+00:00</t>
  </si>
  <si>
    <t>+1m 34s SF</t>
  </si>
  <si>
    <t>2023-09-07 11:58:06.097024+00:00</t>
  </si>
  <si>
    <t>+1m 54s SF</t>
  </si>
  <si>
    <t>2023-09-08 11:57:45.518768+00:00</t>
  </si>
  <si>
    <t>+2m 14s SF</t>
  </si>
  <si>
    <t>2023-09-09 11:57:24.783160+00:00</t>
  </si>
  <si>
    <t>+2m 35s SF</t>
  </si>
  <si>
    <t>+05° 25' 45.1"</t>
  </si>
  <si>
    <t>2023-09-10 11:57:03.907345+00:00</t>
  </si>
  <si>
    <t>+05° 03' 05.7"</t>
  </si>
  <si>
    <t>2023-09-11 11:56:42.908395+00:00</t>
  </si>
  <si>
    <t>+04° 40' 21.1"</t>
  </si>
  <si>
    <t>2023-09-12 11:56:21.803268+00:00</t>
  </si>
  <si>
    <t>2023-09-13 11:56:00.608845+00:00</t>
  </si>
  <si>
    <t>+3m 59s SF</t>
  </si>
  <si>
    <t>2023-09-14 11:55:39.341911+00:00</t>
  </si>
  <si>
    <t>+4m 21s SF</t>
  </si>
  <si>
    <t>2023-09-15 11:55:18.019200+00:00</t>
  </si>
  <si>
    <t>+4m 42s SF</t>
  </si>
  <si>
    <t>2023-09-16 11:54:56.657538+00:00</t>
  </si>
  <si>
    <t>+5m 3s SF</t>
  </si>
  <si>
    <t>2023-09-17 11:54:35.273863+00:00</t>
  </si>
  <si>
    <t>+5m 25s SF</t>
  </si>
  <si>
    <t>+02° 22' 22.4"</t>
  </si>
  <si>
    <t>2023-09-18 11:54:13.885345+00:00</t>
  </si>
  <si>
    <t>+5m 46s SF</t>
  </si>
  <si>
    <t>+01° 59' 10.8"</t>
  </si>
  <si>
    <t>2023-09-19 11:53:52.509396+00:00</t>
  </si>
  <si>
    <t>+6m 7s SF</t>
  </si>
  <si>
    <t>+01° 35' 56.7"</t>
  </si>
  <si>
    <t>2023-09-20 11:53:31.163739+00:00</t>
  </si>
  <si>
    <t>+6m 29s SF</t>
  </si>
  <si>
    <t>2023-09-21 11:53:09.866512+00:00</t>
  </si>
  <si>
    <t>+6m 50s SF</t>
  </si>
  <si>
    <t>2023-09-22 11:52:48.636374+00:00</t>
  </si>
  <si>
    <t>+7m 11s SF</t>
  </si>
  <si>
    <t>+00° 26' 03.4"</t>
  </si>
  <si>
    <t>2023-09-23 11:52:27.492646+00:00</t>
  </si>
  <si>
    <t>+7m 33s SF</t>
  </si>
  <si>
    <t>2023-09-24 11:52:06.455468+00:00</t>
  </si>
  <si>
    <t>+7m 54s SF</t>
  </si>
  <si>
    <t>-00° 20' 37.8"</t>
  </si>
  <si>
    <t>2023-09-25 11:51:45.545960+00:00</t>
  </si>
  <si>
    <t>+8m 14s SF</t>
  </si>
  <si>
    <t>-00° 43' 59.1"</t>
  </si>
  <si>
    <t>2023-09-26 11:51:24.786360+00:00</t>
  </si>
  <si>
    <t>-01° 07' 20.4"</t>
  </si>
  <si>
    <t>2023-09-27 11:51:04.200042+00:00</t>
  </si>
  <si>
    <t>+8m 56s SF</t>
  </si>
  <si>
    <t>2023-09-28 11:50:43.811383+00:00</t>
  </si>
  <si>
    <t>+9m 16s SF</t>
  </si>
  <si>
    <t>-01° 54' 01.7"</t>
  </si>
  <si>
    <t>2023-09-29 11:50:23.645426+00:00</t>
  </si>
  <si>
    <t>+9m 36s SF</t>
  </si>
  <si>
    <t>2023-09-30 11:50:03.727409+00:00</t>
  </si>
  <si>
    <t>+9m 56s SF</t>
  </si>
  <si>
    <t>-02° 40' 39.3"</t>
  </si>
  <si>
    <t>2023-10-01 11:49:44.082256+00:00</t>
  </si>
  <si>
    <t>+10m 16s SF</t>
  </si>
  <si>
    <t>-03° 03' 55.9"</t>
  </si>
  <si>
    <t>2023-10-02 11:49:24.734178+00:00</t>
  </si>
  <si>
    <t>+10m 35s SF</t>
  </si>
  <si>
    <t>2023-10-03 11:49:05.706442+00:00</t>
  </si>
  <si>
    <t>+10m 54s SF</t>
  </si>
  <si>
    <t>-03° 50' 23.2"</t>
  </si>
  <si>
    <t>2023-10-04 11:48:47.021317+00:00</t>
  </si>
  <si>
    <t>+11m 13s SF</t>
  </si>
  <si>
    <t>2023-10-05 11:48:28.700130+00:00</t>
  </si>
  <si>
    <t>+11m 31s SF</t>
  </si>
  <si>
    <t>-04° 36' 40.4"</t>
  </si>
  <si>
    <t>2023-10-06 11:48:10.763381+00:00</t>
  </si>
  <si>
    <t>+11m 49s SF</t>
  </si>
  <si>
    <t>-04° 59' 44.3"</t>
  </si>
  <si>
    <t>2023-10-07 11:47:53.230861+00:00</t>
  </si>
  <si>
    <t>+12m 7s SF</t>
  </si>
  <si>
    <t>-05° 22' 44.6"</t>
  </si>
  <si>
    <t>2023-10-08 11:47:36.121738+00:00</t>
  </si>
  <si>
    <t>+12m 24s SF</t>
  </si>
  <si>
    <t>-05° 45' 41.0"</t>
  </si>
  <si>
    <t>2023-10-09 11:47:19.454618+00:00</t>
  </si>
  <si>
    <t>+12m 41s SF</t>
  </si>
  <si>
    <t>-06° 08' 33.0"</t>
  </si>
  <si>
    <t>2023-10-10 11:47:03.247569+00:00</t>
  </si>
  <si>
    <t>+12m 57s SF</t>
  </si>
  <si>
    <t>2023-10-11 11:46:47.513235+00:00</t>
  </si>
  <si>
    <t>+13m 12s SF</t>
  </si>
  <si>
    <t>-06° 54' 02.6"</t>
  </si>
  <si>
    <t>2023-10-12 11:46:32.278756+00:00</t>
  </si>
  <si>
    <t>+13m 28s SF</t>
  </si>
  <si>
    <t>2023-10-13 11:46:17.555221+00:00</t>
  </si>
  <si>
    <t>+13m 42s SF</t>
  </si>
  <si>
    <t>-07° 39' 10.2"</t>
  </si>
  <si>
    <t>2023-10-14 11:46:03.358435+00:00</t>
  </si>
  <si>
    <t>+13m 57s SF</t>
  </si>
  <si>
    <t>-08° 01' 34.8"</t>
  </si>
  <si>
    <t>2023-10-15 11:45:49.703626+00:00</t>
  </si>
  <si>
    <t>2023-10-16 11:45:36.605491+00:00</t>
  </si>
  <si>
    <t>+14m 23s SF</t>
  </si>
  <si>
    <t>-08° 46' 03.6"</t>
  </si>
  <si>
    <t>2023-10-17 11:45:24.078264+00:00</t>
  </si>
  <si>
    <t>+14m 36s SF</t>
  </si>
  <si>
    <t>2023-10-18 11:45:12.135837+00:00</t>
  </si>
  <si>
    <t>+14m 48s SF</t>
  </si>
  <si>
    <t>-09° 30' 02.4"</t>
  </si>
  <si>
    <t>2023-10-19 11:45:00.791897+00:00</t>
  </si>
  <si>
    <t>+14m 59s SF</t>
  </si>
  <si>
    <t>-09° 51' 49.5"</t>
  </si>
  <si>
    <t>2023-10-20 11:44:50.060099+00:00</t>
  </si>
  <si>
    <t>+15m 10s SF</t>
  </si>
  <si>
    <t>2023-10-21 11:44:39.954244+00:00</t>
  </si>
  <si>
    <t>+15m 20s SF</t>
  </si>
  <si>
    <t>2023-10-22 11:44:30.488474+00:00</t>
  </si>
  <si>
    <t>+15m 30s SF</t>
  </si>
  <si>
    <t>2023-10-23 11:44:21.677443+00:00</t>
  </si>
  <si>
    <t>+15m 38s SF</t>
  </si>
  <si>
    <t>-11° 17' 26.9"</t>
  </si>
  <si>
    <t>2023-10-24 11:44:13.536467+00:00</t>
  </si>
  <si>
    <t>+15m 46s SF</t>
  </si>
  <si>
    <t>-11° 38' 26.5"</t>
  </si>
  <si>
    <t>2023-10-25 11:44:06.081576+00:00</t>
  </si>
  <si>
    <t>+15m 54s SF</t>
  </si>
  <si>
    <t>2023-10-26 11:43:59.329442+00:00</t>
  </si>
  <si>
    <t>+16m 1s SF</t>
  </si>
  <si>
    <t>-12° 19' 53.2"</t>
  </si>
  <si>
    <t>2023-10-27 11:43:53.297159+00:00</t>
  </si>
  <si>
    <t>+16m 7s SF</t>
  </si>
  <si>
    <t>2023-10-28 11:43:48.001874+00:00</t>
  </si>
  <si>
    <t>+16m 12s SF</t>
  </si>
  <si>
    <t>2023-10-29 11:43:43.465169+00:00</t>
  </si>
  <si>
    <t>2023-10-30 11:43:39.692473+00:00</t>
  </si>
  <si>
    <t>-13° 40' 26.7"</t>
  </si>
  <si>
    <t>2023-10-31 11:43:36.704498+00:00</t>
  </si>
  <si>
    <t>2023-11-01 11:43:34.514842+00:00</t>
  </si>
  <si>
    <t>-14° 19' 27.5"</t>
  </si>
  <si>
    <t>2023-11-02 11:43:33.135719+00:00</t>
  </si>
  <si>
    <t>+16m 27s SF</t>
  </si>
  <si>
    <t>-14° 38' 37.6"</t>
  </si>
  <si>
    <t>2023-11-03 11:43:32.577948+00:00</t>
  </si>
  <si>
    <t>-14° 57' 33.6"</t>
  </si>
  <si>
    <t>2023-11-04 11:43:32.850986+00:00</t>
  </si>
  <si>
    <t>2023-11-05 11:43:33.966834+00:00</t>
  </si>
  <si>
    <t>-15° 34' 41.8"</t>
  </si>
  <si>
    <t>2023-11-06 11:43:35.920748+00:00</t>
  </si>
  <si>
    <t>+16m 24s SF</t>
  </si>
  <si>
    <t>-15° 52' 53.2"</t>
  </si>
  <si>
    <t>2023-11-07 11:43:38.729880+00:00</t>
  </si>
  <si>
    <t>+16m 21s SF</t>
  </si>
  <si>
    <t>2023-11-08 11:43:42.394625+00:00</t>
  </si>
  <si>
    <t>+16m 18s SF</t>
  </si>
  <si>
    <t>-16° 28' 28.4"</t>
  </si>
  <si>
    <t>2023-11-09 11:43:46.917885+00:00</t>
  </si>
  <si>
    <t>-16° 45' 51.4"</t>
  </si>
  <si>
    <t>2023-11-10 11:43:52.301136+00:00</t>
  </si>
  <si>
    <t>2023-11-11 11:43:58.544347+00:00</t>
  </si>
  <si>
    <t>2023-11-12 11:44:05.645913+00:00</t>
  </si>
  <si>
    <t>-17° 36' 17.0"</t>
  </si>
  <si>
    <t>2023-11-13 11:44:13.602626+00:00</t>
  </si>
  <si>
    <t>2023-11-14 11:44:22.409718+00:00</t>
  </si>
  <si>
    <t>2023-11-15 11:44:32.060990+00:00</t>
  </si>
  <si>
    <t>+15m 28s SF</t>
  </si>
  <si>
    <t>-18° 23' 58.6"</t>
  </si>
  <si>
    <t>2023-11-16 11:44:42.549037+00:00</t>
  </si>
  <si>
    <t>+15m 17s SF</t>
  </si>
  <si>
    <t>-18° 39' 14.1"</t>
  </si>
  <si>
    <t>2023-11-17 11:44:53.865544+00:00</t>
  </si>
  <si>
    <t>+15m 6s SF</t>
  </si>
  <si>
    <t>-18° 54' 09.7"</t>
  </si>
  <si>
    <t>2023-11-18 11:45:06.001606+00:00</t>
  </si>
  <si>
    <t>+14m 54s SF</t>
  </si>
  <si>
    <t>2023-11-19 11:45:18.948038+00:00</t>
  </si>
  <si>
    <t>+14m 41s SF</t>
  </si>
  <si>
    <t>-19° 22' 59.7"</t>
  </si>
  <si>
    <t>2023-11-20 11:45:32.695604+00:00</t>
  </si>
  <si>
    <t>2023-11-21 11:45:47.235178+00:00</t>
  </si>
  <si>
    <t>-19° 50' 25.6"</t>
  </si>
  <si>
    <t>2023-11-22 11:46:02.557786+00:00</t>
  </si>
  <si>
    <t>2023-11-23 11:46:18.654556+00:00</t>
  </si>
  <si>
    <t>+13m 41s SF</t>
  </si>
  <si>
    <t>2023-11-24 11:46:35.516557+00:00</t>
  </si>
  <si>
    <t>+13m 24s SF</t>
  </si>
  <si>
    <t>2023-11-25 11:46:53.134573+00:00</t>
  </si>
  <si>
    <t>+13m 7s SF</t>
  </si>
  <si>
    <t>-20° 40' 53.8"</t>
  </si>
  <si>
    <t>2023-11-26 11:47:11.498789+00:00</t>
  </si>
  <si>
    <t>+12m 49s SF</t>
  </si>
  <si>
    <t>-20° 52' 34.0"</t>
  </si>
  <si>
    <t>2023-11-27 11:47:30.598496+00:00</t>
  </si>
  <si>
    <t>+12m 29s SF</t>
  </si>
  <si>
    <t>2023-11-28 11:47:50.421811+00:00</t>
  </si>
  <si>
    <t>2023-11-29 11:48:10.955464+00:00</t>
  </si>
  <si>
    <t>2023-11-30 11:48:32.184647+00:00</t>
  </si>
  <si>
    <t>+11m 28s SF</t>
  </si>
  <si>
    <t>-21° 35' 18.0"</t>
  </si>
  <si>
    <t>2023-12-01 11:48:54.092930+00:00</t>
  </si>
  <si>
    <t>+11m 6s SF</t>
  </si>
  <si>
    <t>2023-12-02 11:49:16.662241+00:00</t>
  </si>
  <si>
    <t>+10m 43s SF</t>
  </si>
  <si>
    <t>2023-12-03 11:49:39.867776+00:00</t>
  </si>
  <si>
    <t>+10m 20s SF</t>
  </si>
  <si>
    <t>2023-12-04 11:50:03.698338+00:00</t>
  </si>
  <si>
    <t>2023-12-05 11:50:28.126212+00:00</t>
  </si>
  <si>
    <t>+9m 32s SF</t>
  </si>
  <si>
    <t>-22° 19' 28.1"</t>
  </si>
  <si>
    <t>2023-12-06 11:50:53.127106+00:00</t>
  </si>
  <si>
    <t>+9m 7s SF</t>
  </si>
  <si>
    <t>2023-12-07 11:51:18.675242+00:00</t>
  </si>
  <si>
    <t>+8m 41s SF</t>
  </si>
  <si>
    <t>2023-12-08 11:51:44.743330+00:00</t>
  </si>
  <si>
    <t>+8m 15s SF</t>
  </si>
  <si>
    <t>2023-12-09 11:52:11.302513+00:00</t>
  </si>
  <si>
    <t>+7m 49s SF</t>
  </si>
  <si>
    <t>2023-12-10 11:52:38.322303+00:00</t>
  </si>
  <si>
    <t>+7m 22s SF</t>
  </si>
  <si>
    <t>2023-12-11 11:53:05.770509+00:00</t>
  </si>
  <si>
    <t>+6m 54s SF</t>
  </si>
  <si>
    <t>-22° 58' 09.8"</t>
  </si>
  <si>
    <t>2023-12-12 11:53:33.618094+00:00</t>
  </si>
  <si>
    <t>+6m 26s SF</t>
  </si>
  <si>
    <t>2023-12-13 11:54:01.819648+00:00</t>
  </si>
  <si>
    <t>+5m 58s SF</t>
  </si>
  <si>
    <t>2023-12-14 11:54:30.343503+00:00</t>
  </si>
  <si>
    <t>2023-12-15 11:54:59.152115+00:00</t>
  </si>
  <si>
    <t>+5m 1s SF</t>
  </si>
  <si>
    <t>2023-12-16 11:55:28.207701+00:00</t>
  </si>
  <si>
    <t>+4m 32s SF</t>
  </si>
  <si>
    <t>2023-12-17 11:55:57.472818+00:00</t>
  </si>
  <si>
    <t>+4m 3s SF</t>
  </si>
  <si>
    <t>2023-12-18 11:56:26.910801+00:00</t>
  </si>
  <si>
    <t>2023-12-19 11:56:56.486042+00:00</t>
  </si>
  <si>
    <t>2023-12-20 11:57:26.164083+00:00</t>
  </si>
  <si>
    <t>2023-12-21 11:57:55.911586+00:00</t>
  </si>
  <si>
    <t>+2m 4s SF</t>
  </si>
  <si>
    <t>2023-12-22 11:58:25.696205+00:00</t>
  </si>
  <si>
    <t>2023-12-23 11:58:55.486443+00:00</t>
  </si>
  <si>
    <t>2023-12-24 11:59:25.249018+00:00</t>
  </si>
  <si>
    <t>2023-12-25 11:59:54.960989+00:00</t>
  </si>
  <si>
    <t>+0m 5s SF</t>
  </si>
  <si>
    <t>2023-12-26 12:00:24.585015+00:00</t>
  </si>
  <si>
    <t>-0m 25s SS</t>
  </si>
  <si>
    <t>2023-12-27 12:00:54.093802+00:00</t>
  </si>
  <si>
    <t>2023-12-28 12:01:23.457703+00:00</t>
  </si>
  <si>
    <t>2023-12-29 12:01:52.647101+00:00</t>
  </si>
  <si>
    <t>-1m 53s SS</t>
  </si>
  <si>
    <t>2023-12-30 12:02:21.632375+00:00</t>
  </si>
  <si>
    <t>-2m 22s SS</t>
  </si>
  <si>
    <t>2023-12-31 12:02:50.383900+00:00</t>
  </si>
  <si>
    <t>-2m 50s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</si>
</sst>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7" fontId="3" fillId="3" borderId="0" xfId="0" applyNumberFormat="1" applyFont="1" applyFill="1" applyAlignment="1">
      <alignment horizontal="center"/>
    </xf>
    <xf numFmtId="17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9"/>
  <sheetViews>
    <sheetView tabSelected="1" topLeftCell="A35" zoomScale="110" zoomScaleNormal="110" workbookViewId="0">
      <selection activeCell="B16" sqref="B16"/>
    </sheetView>
  </sheetViews>
  <sheetFormatPr defaultRowHeight="14.4" x14ac:dyDescent="0.3"/>
  <cols>
    <col min="1" max="1" width="3.44140625" style="1" customWidth="1"/>
    <col min="2" max="3" width="12.33203125" style="1" customWidth="1"/>
    <col min="4" max="13" width="12.33203125" customWidth="1"/>
    <col min="14" max="14" width="5" customWidth="1"/>
    <col min="15" max="25" width="13.44140625" customWidth="1"/>
    <col min="26" max="26" width="8.88671875" style="1"/>
  </cols>
  <sheetData>
    <row r="1" spans="1:26" s="1" customFormat="1" ht="21" x14ac:dyDescent="0.4">
      <c r="B1" s="4" t="s">
        <v>578</v>
      </c>
    </row>
    <row r="2" spans="1:26" s="8" customFormat="1" ht="12" x14ac:dyDescent="0.25">
      <c r="A2" s="7"/>
      <c r="B2" s="15">
        <v>44562</v>
      </c>
      <c r="C2" s="16"/>
      <c r="D2" s="14">
        <v>44593</v>
      </c>
      <c r="E2" s="14"/>
      <c r="F2" s="15">
        <v>44621</v>
      </c>
      <c r="G2" s="16"/>
      <c r="H2" s="14">
        <v>44652</v>
      </c>
      <c r="I2" s="14"/>
      <c r="J2" s="15">
        <v>44682</v>
      </c>
      <c r="K2" s="16"/>
      <c r="L2" s="14">
        <v>44713</v>
      </c>
      <c r="M2" s="14"/>
      <c r="Z2" s="7"/>
    </row>
    <row r="3" spans="1:26" s="8" customFormat="1" ht="12" x14ac:dyDescent="0.25">
      <c r="A3" s="7"/>
      <c r="B3" s="9" t="s">
        <v>573</v>
      </c>
      <c r="C3" s="9" t="s">
        <v>574</v>
      </c>
      <c r="D3" s="10" t="s">
        <v>573</v>
      </c>
      <c r="E3" s="10" t="s">
        <v>574</v>
      </c>
      <c r="F3" s="9" t="s">
        <v>573</v>
      </c>
      <c r="G3" s="9" t="s">
        <v>574</v>
      </c>
      <c r="H3" s="10" t="s">
        <v>573</v>
      </c>
      <c r="I3" s="10" t="s">
        <v>574</v>
      </c>
      <c r="J3" s="9" t="s">
        <v>573</v>
      </c>
      <c r="K3" s="9" t="s">
        <v>574</v>
      </c>
      <c r="L3" s="10" t="s">
        <v>573</v>
      </c>
      <c r="M3" s="10" t="s">
        <v>574</v>
      </c>
      <c r="Z3" s="7"/>
    </row>
    <row r="4" spans="1:26" s="8" customFormat="1" ht="12" x14ac:dyDescent="0.25">
      <c r="A4" s="7">
        <v>1</v>
      </c>
      <c r="B4" s="11" t="str">
        <f>VLOOKUP(B$2+$A4-1,Data!$C:$E,2)</f>
        <v>-3m 32s SS</v>
      </c>
      <c r="C4" s="11" t="str">
        <f>VLOOKUP(B$2+$A4-1,Data!$C:$E,3)</f>
        <v>-23° 00' 15.6"</v>
      </c>
      <c r="D4" s="12" t="str">
        <f>VLOOKUP(D$2+$A4-1,Data!$C:$E,2)</f>
        <v>-13m 33s SS</v>
      </c>
      <c r="E4" s="12" t="str">
        <f>VLOOKUP(D$2+$A4-1,Data!$C:$E,3)</f>
        <v>-17° 06' 32.4"</v>
      </c>
      <c r="F4" s="11" t="str">
        <f>VLOOKUP(F$2+$A4-1,Data!$C:$E,2)</f>
        <v>-12m 18s SS</v>
      </c>
      <c r="G4" s="11" t="str">
        <f>VLOOKUP(F$2+$A4-1,Data!$C:$E,3)</f>
        <v>-07° 36' 04.1"</v>
      </c>
      <c r="H4" s="12" t="str">
        <f>VLOOKUP(H$2+$A4-1,Data!$C:$E,2)</f>
        <v>-3m 52s SS</v>
      </c>
      <c r="I4" s="12" t="str">
        <f>VLOOKUP(H$2+$A4-1,Data!$C:$E,3)</f>
        <v>+04° 31' 21.6"</v>
      </c>
      <c r="J4" s="11" t="str">
        <f>VLOOKUP(J$2+$A4-1,Data!$C:$E,2)</f>
        <v>+2m 53s SF</v>
      </c>
      <c r="K4" s="11" t="str">
        <f>VLOOKUP(J$2+$A4-1,Data!$C:$E,3)</f>
        <v>+15° 03' 39.2"</v>
      </c>
      <c r="L4" s="12" t="str">
        <f>VLOOKUP(L$2+$A4-1,Data!$C:$E,2)</f>
        <v>+2m 8s SF</v>
      </c>
      <c r="M4" s="12" t="str">
        <f>VLOOKUP(L$2+$A4-1,Data!$C:$E,3)</f>
        <v>+22° 02' 40.3"</v>
      </c>
      <c r="N4" s="7">
        <v>1</v>
      </c>
      <c r="Z4" s="7"/>
    </row>
    <row r="5" spans="1:26" s="8" customFormat="1" ht="12" x14ac:dyDescent="0.25">
      <c r="A5" s="7">
        <v>2</v>
      </c>
      <c r="B5" s="11" t="str">
        <f>VLOOKUP(B$2+$A5-1,Data!$C:$E,2)</f>
        <v>-4m 1s SS</v>
      </c>
      <c r="C5" s="11" t="str">
        <f>VLOOKUP(B$2+$A5-1,Data!$C:$E,3)</f>
        <v>-22° 55' 06.2"</v>
      </c>
      <c r="D5" s="12" t="str">
        <f>VLOOKUP(D$2+$A5-1,Data!$C:$E,2)</f>
        <v>-13m 40s SS</v>
      </c>
      <c r="E5" s="12" t="str">
        <f>VLOOKUP(D$2+$A5-1,Data!$C:$E,3)</f>
        <v>-16° 49' 19.5"</v>
      </c>
      <c r="F5" s="11" t="str">
        <f>VLOOKUP(F$2+$A5-1,Data!$C:$E,2)</f>
        <v>-12m 7s SS</v>
      </c>
      <c r="G5" s="11" t="str">
        <f>VLOOKUP(F$2+$A5-1,Data!$C:$E,3)</f>
        <v>-07° 13' 13.0"</v>
      </c>
      <c r="H5" s="12" t="str">
        <f>VLOOKUP(H$2+$A5-1,Data!$C:$E,2)</f>
        <v>-3m 34s SS</v>
      </c>
      <c r="I5" s="12" t="str">
        <f>VLOOKUP(H$2+$A5-1,Data!$C:$E,3)</f>
        <v>+04° 54' 29.0"</v>
      </c>
      <c r="J5" s="11" t="str">
        <f>VLOOKUP(J$2+$A5-1,Data!$C:$E,2)</f>
        <v>+3m 0s SF</v>
      </c>
      <c r="K5" s="11" t="str">
        <f>VLOOKUP(J$2+$A5-1,Data!$C:$E,3)</f>
        <v>+15° 21' 41.9"</v>
      </c>
      <c r="L5" s="12" t="str">
        <f>VLOOKUP(L$2+$A5-1,Data!$C:$E,2)</f>
        <v>+1m 58s SF</v>
      </c>
      <c r="M5" s="12" t="str">
        <f>VLOOKUP(L$2+$A5-1,Data!$C:$E,3)</f>
        <v>+22° 10' 38.8"</v>
      </c>
      <c r="N5" s="7">
        <v>2</v>
      </c>
      <c r="Z5" s="7"/>
    </row>
    <row r="6" spans="1:26" s="8" customFormat="1" ht="12" x14ac:dyDescent="0.25">
      <c r="A6" s="7">
        <v>3</v>
      </c>
      <c r="B6" s="11" t="str">
        <f>VLOOKUP(B$2+$A6-1,Data!$C:$E,2)</f>
        <v>-4m 28s SS</v>
      </c>
      <c r="C6" s="11" t="str">
        <f>VLOOKUP(B$2+$A6-1,Data!$C:$E,3)</f>
        <v>-22° 49' 29.4"</v>
      </c>
      <c r="D6" s="12" t="str">
        <f>VLOOKUP(D$2+$A6-1,Data!$C:$E,2)</f>
        <v>-13m 47s SS</v>
      </c>
      <c r="E6" s="12" t="str">
        <f>VLOOKUP(D$2+$A6-1,Data!$C:$E,3)</f>
        <v>-16° 31' 48.9"</v>
      </c>
      <c r="F6" s="11" t="str">
        <f>VLOOKUP(F$2+$A6-1,Data!$C:$E,2)</f>
        <v>-11m 54s SS</v>
      </c>
      <c r="G6" s="11" t="str">
        <f>VLOOKUP(F$2+$A6-1,Data!$C:$E,3)</f>
        <v>-06° 50' 15.6"</v>
      </c>
      <c r="H6" s="12" t="str">
        <f>VLOOKUP(H$2+$A6-1,Data!$C:$E,2)</f>
        <v>-3m 17s SS</v>
      </c>
      <c r="I6" s="12" t="str">
        <f>VLOOKUP(H$2+$A6-1,Data!$C:$E,3)</f>
        <v>+05° 17' 31.1"</v>
      </c>
      <c r="J6" s="11" t="str">
        <f>VLOOKUP(J$2+$A6-1,Data!$C:$E,2)</f>
        <v>+3m 6s SF</v>
      </c>
      <c r="K6" s="11" t="str">
        <f>VLOOKUP(J$2+$A6-1,Data!$C:$E,3)</f>
        <v>+15° 39' 29.3"</v>
      </c>
      <c r="L6" s="12" t="str">
        <f>VLOOKUP(L$2+$A6-1,Data!$C:$E,2)</f>
        <v>+1m 48s SF</v>
      </c>
      <c r="M6" s="12" t="str">
        <f>VLOOKUP(L$2+$A6-1,Data!$C:$E,3)</f>
        <v>+22° 18' 14.0"</v>
      </c>
      <c r="N6" s="7">
        <v>3</v>
      </c>
      <c r="Z6" s="7"/>
    </row>
    <row r="7" spans="1:26" s="8" customFormat="1" ht="12" x14ac:dyDescent="0.25">
      <c r="A7" s="7">
        <v>4</v>
      </c>
      <c r="B7" s="11" t="str">
        <f>VLOOKUP(B$2+$A7-1,Data!$C:$E,2)</f>
        <v>-4m 56s SS</v>
      </c>
      <c r="C7" s="11" t="str">
        <f>VLOOKUP(B$2+$A7-1,Data!$C:$E,3)</f>
        <v>-22° 43' 25.3"</v>
      </c>
      <c r="D7" s="12" t="str">
        <f>VLOOKUP(D$2+$A7-1,Data!$C:$E,2)</f>
        <v>-13m 53s SS</v>
      </c>
      <c r="E7" s="12" t="str">
        <f>VLOOKUP(D$2+$A7-1,Data!$C:$E,3)</f>
        <v>-16° 14' 01.0"</v>
      </c>
      <c r="F7" s="11" t="str">
        <f>VLOOKUP(F$2+$A7-1,Data!$C:$E,2)</f>
        <v>-11m 41s SS</v>
      </c>
      <c r="G7" s="11" t="str">
        <f>VLOOKUP(F$2+$A7-1,Data!$C:$E,3)</f>
        <v>-06° 27' 12.4"</v>
      </c>
      <c r="H7" s="12" t="str">
        <f>VLOOKUP(H$2+$A7-1,Data!$C:$E,2)</f>
        <v>-3m 0s SS</v>
      </c>
      <c r="I7" s="12" t="str">
        <f>VLOOKUP(H$2+$A7-1,Data!$C:$E,3)</f>
        <v>+05° 40' 27.6"</v>
      </c>
      <c r="J7" s="11" t="str">
        <f>VLOOKUP(J$2+$A7-1,Data!$C:$E,2)</f>
        <v>+3m 12s SF</v>
      </c>
      <c r="K7" s="11" t="str">
        <f>VLOOKUP(J$2+$A7-1,Data!$C:$E,3)</f>
        <v>+15° 57' 01.1"</v>
      </c>
      <c r="L7" s="12" t="str">
        <f>VLOOKUP(L$2+$A7-1,Data!$C:$E,2)</f>
        <v>+1m 38s SF</v>
      </c>
      <c r="M7" s="12" t="str">
        <f>VLOOKUP(L$2+$A7-1,Data!$C:$E,3)</f>
        <v>+22° 25' 25.7"</v>
      </c>
      <c r="N7" s="7">
        <v>4</v>
      </c>
      <c r="Z7" s="7"/>
    </row>
    <row r="8" spans="1:26" s="8" customFormat="1" ht="12" x14ac:dyDescent="0.25">
      <c r="A8" s="13">
        <v>5</v>
      </c>
      <c r="B8" s="9" t="str">
        <f>VLOOKUP(B$2+$A8-1,Data!$C:$E,2)</f>
        <v>-5m 23s SS</v>
      </c>
      <c r="C8" s="9" t="str">
        <f>VLOOKUP(B$2+$A8-1,Data!$C:$E,3)</f>
        <v>-22° 36' 54.1"</v>
      </c>
      <c r="D8" s="10" t="str">
        <f>VLOOKUP(D$2+$A8-1,Data!$C:$E,2)</f>
        <v>-13m 58s SS</v>
      </c>
      <c r="E8" s="10" t="str">
        <f>VLOOKUP(D$2+$A8-1,Data!$C:$E,3)</f>
        <v>-15° 55' 56.4"</v>
      </c>
      <c r="F8" s="9" t="str">
        <f>VLOOKUP(F$2+$A8-1,Data!$C:$E,2)</f>
        <v>-11m 28s SS</v>
      </c>
      <c r="G8" s="9" t="str">
        <f>VLOOKUP(F$2+$A8-1,Data!$C:$E,3)</f>
        <v>-06° 04' 03.9"</v>
      </c>
      <c r="H8" s="10" t="str">
        <f>VLOOKUP(H$2+$A8-1,Data!$C:$E,2)</f>
        <v>-2m 42s SS</v>
      </c>
      <c r="I8" s="10" t="str">
        <f>VLOOKUP(H$2+$A8-1,Data!$C:$E,3)</f>
        <v>+06° 03' 18.0"</v>
      </c>
      <c r="J8" s="9" t="str">
        <f>VLOOKUP(J$2+$A8-1,Data!$C:$E,2)</f>
        <v>+3m 17s SF</v>
      </c>
      <c r="K8" s="9" t="str">
        <f>VLOOKUP(J$2+$A8-1,Data!$C:$E,3)</f>
        <v>+16° 14' 16.9"</v>
      </c>
      <c r="L8" s="10" t="str">
        <f>VLOOKUP(L$2+$A8-1,Data!$C:$E,2)</f>
        <v>+1m 28s SF</v>
      </c>
      <c r="M8" s="10" t="str">
        <f>VLOOKUP(L$2+$A8-1,Data!$C:$E,3)</f>
        <v>+22° 32' 13.8"</v>
      </c>
      <c r="N8" s="13">
        <v>5</v>
      </c>
      <c r="Z8" s="7"/>
    </row>
    <row r="9" spans="1:26" s="8" customFormat="1" ht="12" x14ac:dyDescent="0.25">
      <c r="A9" s="7">
        <v>6</v>
      </c>
      <c r="B9" s="11" t="str">
        <f>VLOOKUP(B$2+$A9-1,Data!$C:$E,2)</f>
        <v>-5m 49s SS</v>
      </c>
      <c r="C9" s="11" t="str">
        <f>VLOOKUP(B$2+$A9-1,Data!$C:$E,3)</f>
        <v>-22° 29' 56.0"</v>
      </c>
      <c r="D9" s="12" t="str">
        <f>VLOOKUP(D$2+$A9-1,Data!$C:$E,2)</f>
        <v>-14m 2s SS</v>
      </c>
      <c r="E9" s="12" t="str">
        <f>VLOOKUP(D$2+$A9-1,Data!$C:$E,3)</f>
        <v>-15° 37' 35.3"</v>
      </c>
      <c r="F9" s="11" t="str">
        <f>VLOOKUP(F$2+$A9-1,Data!$C:$E,2)</f>
        <v>-11m 14s SS</v>
      </c>
      <c r="G9" s="11" t="str">
        <f>VLOOKUP(F$2+$A9-1,Data!$C:$E,3)</f>
        <v>-05° 40' 50.4"</v>
      </c>
      <c r="H9" s="12" t="str">
        <f>VLOOKUP(H$2+$A9-1,Data!$C:$E,2)</f>
        <v>-2m 25s SS</v>
      </c>
      <c r="I9" s="12" t="str">
        <f>VLOOKUP(H$2+$A9-1,Data!$C:$E,3)</f>
        <v>+06° 26' 02.1"</v>
      </c>
      <c r="J9" s="11" t="str">
        <f>VLOOKUP(J$2+$A9-1,Data!$C:$E,2)</f>
        <v>+3m 21s SF</v>
      </c>
      <c r="K9" s="11" t="str">
        <f>VLOOKUP(J$2+$A9-1,Data!$C:$E,3)</f>
        <v>+16° 31' 16.5"</v>
      </c>
      <c r="L9" s="12" t="str">
        <f>VLOOKUP(L$2+$A9-1,Data!$C:$E,2)</f>
        <v>+1m 17s SF</v>
      </c>
      <c r="M9" s="12" t="str">
        <f>VLOOKUP(L$2+$A9-1,Data!$C:$E,3)</f>
        <v>+22° 38' 38.2"</v>
      </c>
      <c r="N9" s="7">
        <v>6</v>
      </c>
      <c r="Z9" s="7"/>
    </row>
    <row r="10" spans="1:26" s="8" customFormat="1" ht="12" x14ac:dyDescent="0.25">
      <c r="A10" s="7">
        <v>7</v>
      </c>
      <c r="B10" s="11" t="str">
        <f>VLOOKUP(B$2+$A10-1,Data!$C:$E,2)</f>
        <v>-6m 16s SS</v>
      </c>
      <c r="C10" s="11" t="str">
        <f>VLOOKUP(B$2+$A10-1,Data!$C:$E,3)</f>
        <v>-22° 22' 31.3"</v>
      </c>
      <c r="D10" s="12" t="str">
        <f>VLOOKUP(D$2+$A10-1,Data!$C:$E,2)</f>
        <v>-14m 6s SS</v>
      </c>
      <c r="E10" s="12" t="str">
        <f>VLOOKUP(D$2+$A10-1,Data!$C:$E,3)</f>
        <v>-15° 18' 58.3"</v>
      </c>
      <c r="F10" s="11" t="str">
        <f>VLOOKUP(F$2+$A10-1,Data!$C:$E,2)</f>
        <v>-11m 0s SS</v>
      </c>
      <c r="G10" s="11" t="str">
        <f>VLOOKUP(F$2+$A10-1,Data!$C:$E,3)</f>
        <v>-05° 17' 32.4"</v>
      </c>
      <c r="H10" s="12" t="str">
        <f>VLOOKUP(H$2+$A10-1,Data!$C:$E,2)</f>
        <v>-2m 9s SS</v>
      </c>
      <c r="I10" s="12" t="str">
        <f>VLOOKUP(H$2+$A10-1,Data!$C:$E,3)</f>
        <v>+06° 48' 39.5"</v>
      </c>
      <c r="J10" s="11" t="str">
        <f>VLOOKUP(J$2+$A10-1,Data!$C:$E,2)</f>
        <v>+3m 25s SF</v>
      </c>
      <c r="K10" s="11" t="str">
        <f>VLOOKUP(J$2+$A10-1,Data!$C:$E,3)</f>
        <v>+16° 47' 59.5"</v>
      </c>
      <c r="L10" s="12" t="str">
        <f>VLOOKUP(L$2+$A10-1,Data!$C:$E,2)</f>
        <v>+1m 6s SF</v>
      </c>
      <c r="M10" s="12" t="str">
        <f>VLOOKUP(L$2+$A10-1,Data!$C:$E,3)</f>
        <v>+22° 44' 38.7"</v>
      </c>
      <c r="N10" s="7">
        <v>7</v>
      </c>
      <c r="Z10" s="7"/>
    </row>
    <row r="11" spans="1:26" s="8" customFormat="1" ht="12" x14ac:dyDescent="0.25">
      <c r="A11" s="7">
        <v>8</v>
      </c>
      <c r="B11" s="11" t="str">
        <f>VLOOKUP(B$2+$A11-1,Data!$C:$E,2)</f>
        <v>-6m 41s SS</v>
      </c>
      <c r="C11" s="11" t="str">
        <f>VLOOKUP(B$2+$A11-1,Data!$C:$E,3)</f>
        <v>-22° 14' 40.1"</v>
      </c>
      <c r="D11" s="12" t="str">
        <f>VLOOKUP(D$2+$A11-1,Data!$C:$E,2)</f>
        <v>-14m 9s SS</v>
      </c>
      <c r="E11" s="12" t="str">
        <f>VLOOKUP(D$2+$A11-1,Data!$C:$E,3)</f>
        <v>-15° 00' 05.8"</v>
      </c>
      <c r="F11" s="11" t="str">
        <f>VLOOKUP(F$2+$A11-1,Data!$C:$E,2)</f>
        <v>-10m 46s SS</v>
      </c>
      <c r="G11" s="11" t="str">
        <f>VLOOKUP(F$2+$A11-1,Data!$C:$E,3)</f>
        <v>-04° 54' 10.3"</v>
      </c>
      <c r="H11" s="12" t="str">
        <f>VLOOKUP(H$2+$A11-1,Data!$C:$E,2)</f>
        <v>-1m 52s SS</v>
      </c>
      <c r="I11" s="12" t="str">
        <f>VLOOKUP(H$2+$A11-1,Data!$C:$E,3)</f>
        <v>+07° 11' 09.8"</v>
      </c>
      <c r="J11" s="11" t="str">
        <f>VLOOKUP(J$2+$A11-1,Data!$C:$E,2)</f>
        <v>+3m 29s SF</v>
      </c>
      <c r="K11" s="11" t="str">
        <f>VLOOKUP(J$2+$A11-1,Data!$C:$E,3)</f>
        <v>+17° 04' 25.5"</v>
      </c>
      <c r="L11" s="12" t="str">
        <f>VLOOKUP(L$2+$A11-1,Data!$C:$E,2)</f>
        <v>+0m 54s SF</v>
      </c>
      <c r="M11" s="12" t="str">
        <f>VLOOKUP(L$2+$A11-1,Data!$C:$E,3)</f>
        <v>+22° 50' 15.1"</v>
      </c>
      <c r="N11" s="7">
        <v>8</v>
      </c>
      <c r="Z11" s="7"/>
    </row>
    <row r="12" spans="1:26" s="8" customFormat="1" ht="12" x14ac:dyDescent="0.25">
      <c r="A12" s="7">
        <v>9</v>
      </c>
      <c r="B12" s="11" t="str">
        <f>VLOOKUP(B$2+$A12-1,Data!$C:$E,2)</f>
        <v>-7m 6s SS</v>
      </c>
      <c r="C12" s="11" t="str">
        <f>VLOOKUP(B$2+$A12-1,Data!$C:$E,3)</f>
        <v>-22° 06' 22.7"</v>
      </c>
      <c r="D12" s="12" t="str">
        <f>VLOOKUP(D$2+$A12-1,Data!$C:$E,2)</f>
        <v>-14m 10s SS</v>
      </c>
      <c r="E12" s="12" t="str">
        <f>VLOOKUP(D$2+$A12-1,Data!$C:$E,3)</f>
        <v>-14° 40' 58.2"</v>
      </c>
      <c r="F12" s="11" t="str">
        <f>VLOOKUP(F$2+$A12-1,Data!$C:$E,2)</f>
        <v>-10m 31s SS</v>
      </c>
      <c r="G12" s="11" t="str">
        <f>VLOOKUP(F$2+$A12-1,Data!$C:$E,3)</f>
        <v>-04° 30' 44.4"</v>
      </c>
      <c r="H12" s="12" t="str">
        <f>VLOOKUP(H$2+$A12-1,Data!$C:$E,2)</f>
        <v>-1m 36s SS</v>
      </c>
      <c r="I12" s="12" t="str">
        <f>VLOOKUP(H$2+$A12-1,Data!$C:$E,3)</f>
        <v>+07° 33' 32.6"</v>
      </c>
      <c r="J12" s="11" t="str">
        <f>VLOOKUP(J$2+$A12-1,Data!$C:$E,2)</f>
        <v>+3m 32s SF</v>
      </c>
      <c r="K12" s="11" t="str">
        <f>VLOOKUP(J$2+$A12-1,Data!$C:$E,3)</f>
        <v>+17° 20' 34.4"</v>
      </c>
      <c r="L12" s="12" t="str">
        <f>VLOOKUP(L$2+$A12-1,Data!$C:$E,2)</f>
        <v>+0m 42s SF</v>
      </c>
      <c r="M12" s="12" t="str">
        <f>VLOOKUP(L$2+$A12-1,Data!$C:$E,3)</f>
        <v>+22° 55' 27.5"</v>
      </c>
      <c r="N12" s="7">
        <v>9</v>
      </c>
      <c r="Z12" s="7"/>
    </row>
    <row r="13" spans="1:26" s="8" customFormat="1" ht="12" x14ac:dyDescent="0.25">
      <c r="A13" s="13">
        <v>10</v>
      </c>
      <c r="B13" s="9" t="str">
        <f>VLOOKUP(B$2+$A13-1,Data!$C:$E,2)</f>
        <v>-7m 31s SS</v>
      </c>
      <c r="C13" s="9" t="str">
        <f>VLOOKUP(B$2+$A13-1,Data!$C:$E,3)</f>
        <v>-21° 57' 39.3"</v>
      </c>
      <c r="D13" s="10" t="str">
        <f>VLOOKUP(D$2+$A13-1,Data!$C:$E,2)</f>
        <v>-14m 11s SS</v>
      </c>
      <c r="E13" s="10" t="str">
        <f>VLOOKUP(D$2+$A13-1,Data!$C:$E,3)</f>
        <v>-14° 21' 35.9"</v>
      </c>
      <c r="F13" s="9" t="str">
        <f>VLOOKUP(F$2+$A13-1,Data!$C:$E,2)</f>
        <v>-10m 16s SS</v>
      </c>
      <c r="G13" s="9" t="str">
        <f>VLOOKUP(F$2+$A13-1,Data!$C:$E,3)</f>
        <v>-04° 07' 15.2"</v>
      </c>
      <c r="H13" s="10" t="str">
        <f>VLOOKUP(H$2+$A13-1,Data!$C:$E,2)</f>
        <v>-1m 19s SS</v>
      </c>
      <c r="I13" s="10" t="str">
        <f>VLOOKUP(H$2+$A13-1,Data!$C:$E,3)</f>
        <v>+07° 55' 47.7"</v>
      </c>
      <c r="J13" s="9" t="str">
        <f>VLOOKUP(J$2+$A13-1,Data!$C:$E,2)</f>
        <v>+3m 34s SF</v>
      </c>
      <c r="K13" s="9" t="str">
        <f>VLOOKUP(J$2+$A13-1,Data!$C:$E,3)</f>
        <v>+17° 36' 25.8"</v>
      </c>
      <c r="L13" s="10" t="str">
        <f>VLOOKUP(L$2+$A13-1,Data!$C:$E,2)</f>
        <v>+0m 31s SF</v>
      </c>
      <c r="M13" s="10" t="str">
        <f>VLOOKUP(L$2+$A13-1,Data!$C:$E,3)</f>
        <v>+23° 00' 15.6"</v>
      </c>
      <c r="N13" s="13">
        <v>10</v>
      </c>
      <c r="Z13" s="7"/>
    </row>
    <row r="14" spans="1:26" s="8" customFormat="1" ht="12" x14ac:dyDescent="0.25">
      <c r="A14" s="7">
        <v>11</v>
      </c>
      <c r="B14" s="11" t="str">
        <f>VLOOKUP(B$2+$A14-1,Data!$C:$E,2)</f>
        <v>-7m 54s SS</v>
      </c>
      <c r="C14" s="11" t="str">
        <f>VLOOKUP(B$2+$A14-1,Data!$C:$E,3)</f>
        <v>-21° 48' 30.3"</v>
      </c>
      <c r="D14" s="12" t="str">
        <f>VLOOKUP(D$2+$A14-1,Data!$C:$E,2)</f>
        <v>-14m 12s SS</v>
      </c>
      <c r="E14" s="12" t="str">
        <f>VLOOKUP(D$2+$A14-1,Data!$C:$E,3)</f>
        <v>-14° 01' 59.4"</v>
      </c>
      <c r="F14" s="11" t="str">
        <f>VLOOKUP(F$2+$A14-1,Data!$C:$E,2)</f>
        <v>-10m 0s SS</v>
      </c>
      <c r="G14" s="11" t="str">
        <f>VLOOKUP(F$2+$A14-1,Data!$C:$E,3)</f>
        <v>-03° 43' 43.0"</v>
      </c>
      <c r="H14" s="12" t="str">
        <f>VLOOKUP(H$2+$A14-1,Data!$C:$E,2)</f>
        <v>-1m 3s SS</v>
      </c>
      <c r="I14" s="12" t="str">
        <f>VLOOKUP(H$2+$A14-1,Data!$C:$E,3)</f>
        <v>+08° 17' 54.6"</v>
      </c>
      <c r="J14" s="11" t="str">
        <f>VLOOKUP(J$2+$A14-1,Data!$C:$E,2)</f>
        <v>+3m 36s SF</v>
      </c>
      <c r="K14" s="11" t="str">
        <f>VLOOKUP(J$2+$A14-1,Data!$C:$E,3)</f>
        <v>+17° 51' 59.5"</v>
      </c>
      <c r="L14" s="12" t="str">
        <f>VLOOKUP(L$2+$A14-1,Data!$C:$E,2)</f>
        <v>+0m 19s SF</v>
      </c>
      <c r="M14" s="12" t="str">
        <f>VLOOKUP(L$2+$A14-1,Data!$C:$E,3)</f>
        <v>+23° 04' 39.3"</v>
      </c>
      <c r="N14" s="7">
        <v>11</v>
      </c>
      <c r="Z14" s="7"/>
    </row>
    <row r="15" spans="1:26" s="8" customFormat="1" ht="12" x14ac:dyDescent="0.25">
      <c r="A15" s="7">
        <v>12</v>
      </c>
      <c r="B15" s="11" t="str">
        <f>VLOOKUP(B$2+$A15-1,Data!$C:$E,2)</f>
        <v>-8m 18s SS</v>
      </c>
      <c r="C15" s="11" t="str">
        <f>VLOOKUP(B$2+$A15-1,Data!$C:$E,3)</f>
        <v>-21° 38' 55.9"</v>
      </c>
      <c r="D15" s="12" t="str">
        <f>VLOOKUP(D$2+$A15-1,Data!$C:$E,2)</f>
        <v>-14m 11s SS</v>
      </c>
      <c r="E15" s="12" t="str">
        <f>VLOOKUP(D$2+$A15-1,Data!$C:$E,3)</f>
        <v>-13° 42' 09.0"</v>
      </c>
      <c r="F15" s="11" t="str">
        <f>VLOOKUP(F$2+$A15-1,Data!$C:$E,2)</f>
        <v>-9m 44s SS</v>
      </c>
      <c r="G15" s="11" t="str">
        <f>VLOOKUP(F$2+$A15-1,Data!$C:$E,3)</f>
        <v>-03° 20' 08.3"</v>
      </c>
      <c r="H15" s="12" t="str">
        <f>VLOOKUP(H$2+$A15-1,Data!$C:$E,2)</f>
        <v>-0m 48s SS</v>
      </c>
      <c r="I15" s="12" t="str">
        <f>VLOOKUP(H$2+$A15-1,Data!$C:$E,3)</f>
        <v>+08° 39' 53.2"</v>
      </c>
      <c r="J15" s="11" t="str">
        <f>VLOOKUP(J$2+$A15-1,Data!$C:$E,2)</f>
        <v>+3m 37s SF</v>
      </c>
      <c r="K15" s="11" t="str">
        <f>VLOOKUP(J$2+$A15-1,Data!$C:$E,3)</f>
        <v>+18° 07' 15.0"</v>
      </c>
      <c r="L15" s="12" t="str">
        <f>VLOOKUP(L$2+$A15-1,Data!$C:$E,2)</f>
        <v>+0m 6s SF</v>
      </c>
      <c r="M15" s="12" t="str">
        <f>VLOOKUP(L$2+$A15-1,Data!$C:$E,3)</f>
        <v>+23° 08' 38.7"</v>
      </c>
      <c r="N15" s="7">
        <v>12</v>
      </c>
      <c r="Z15" s="7"/>
    </row>
    <row r="16" spans="1:26" s="8" customFormat="1" ht="12" x14ac:dyDescent="0.25">
      <c r="A16" s="7">
        <v>13</v>
      </c>
      <c r="B16" s="11" t="str">
        <f>VLOOKUP(B$2+$A16-1,Data!$C:$E,2)</f>
        <v>-8m 40s SS</v>
      </c>
      <c r="C16" s="11" t="str">
        <f>VLOOKUP(B$2+$A16-1,Data!$C:$E,3)</f>
        <v>-21° 28' 56.3"</v>
      </c>
      <c r="D16" s="12" t="str">
        <f>VLOOKUP(D$2+$A16-1,Data!$C:$E,2)</f>
        <v>-14m 10s SS</v>
      </c>
      <c r="E16" s="12" t="str">
        <f>VLOOKUP(D$2+$A16-1,Data!$C:$E,3)</f>
        <v>-13° 22' 05.2"</v>
      </c>
      <c r="F16" s="11" t="str">
        <f>VLOOKUP(F$2+$A16-1,Data!$C:$E,2)</f>
        <v>-9m 28s SS</v>
      </c>
      <c r="G16" s="11" t="str">
        <f>VLOOKUP(F$2+$A16-1,Data!$C:$E,3)</f>
        <v>-02° 56' 31.4"</v>
      </c>
      <c r="H16" s="12" t="str">
        <f>VLOOKUP(H$2+$A16-1,Data!$C:$E,2)</f>
        <v>-0m 33s SS</v>
      </c>
      <c r="I16" s="12" t="str">
        <f>VLOOKUP(H$2+$A16-1,Data!$C:$E,3)</f>
        <v>+09° 01' 42.9"</v>
      </c>
      <c r="J16" s="11" t="str">
        <f>VLOOKUP(J$2+$A16-1,Data!$C:$E,2)</f>
        <v>+3m 38s SF</v>
      </c>
      <c r="K16" s="11" t="str">
        <f>VLOOKUP(J$2+$A16-1,Data!$C:$E,3)</f>
        <v>+18° 22' 12.2"</v>
      </c>
      <c r="L16" s="12" t="str">
        <f>VLOOKUP(L$2+$A16-1,Data!$C:$E,2)</f>
        <v>-0m 6s SS</v>
      </c>
      <c r="M16" s="12" t="str">
        <f>VLOOKUP(L$2+$A16-1,Data!$C:$E,3)</f>
        <v>+23° 12' 13.6"</v>
      </c>
      <c r="N16" s="7">
        <v>13</v>
      </c>
      <c r="Z16" s="7"/>
    </row>
    <row r="17" spans="1:26" s="8" customFormat="1" ht="12" x14ac:dyDescent="0.25">
      <c r="A17" s="7">
        <v>14</v>
      </c>
      <c r="B17" s="11" t="str">
        <f>VLOOKUP(B$2+$A17-1,Data!$C:$E,2)</f>
        <v>-9m 2s SS</v>
      </c>
      <c r="C17" s="11" t="str">
        <f>VLOOKUP(B$2+$A17-1,Data!$C:$E,3)</f>
        <v>-21° 18' 31.8"</v>
      </c>
      <c r="D17" s="12" t="str">
        <f>VLOOKUP(D$2+$A17-1,Data!$C:$E,2)</f>
        <v>-14m 8s SS</v>
      </c>
      <c r="E17" s="12" t="str">
        <f>VLOOKUP(D$2+$A17-1,Data!$C:$E,3)</f>
        <v>-13° 01' 48.4"</v>
      </c>
      <c r="F17" s="11" t="str">
        <f>VLOOKUP(F$2+$A17-1,Data!$C:$E,2)</f>
        <v>-9m 11s SS</v>
      </c>
      <c r="G17" s="11" t="str">
        <f>VLOOKUP(F$2+$A17-1,Data!$C:$E,3)</f>
        <v>-02° 32' 52.6"</v>
      </c>
      <c r="H17" s="12" t="str">
        <f>VLOOKUP(H$2+$A17-1,Data!$C:$E,2)</f>
        <v>-0m 18s SS</v>
      </c>
      <c r="I17" s="12" t="str">
        <f>VLOOKUP(H$2+$A17-1,Data!$C:$E,3)</f>
        <v>+09° 23' 23.5"</v>
      </c>
      <c r="J17" s="11" t="str">
        <f>VLOOKUP(J$2+$A17-1,Data!$C:$E,2)</f>
        <v>+3m 38s SF</v>
      </c>
      <c r="K17" s="11" t="str">
        <f>VLOOKUP(J$2+$A17-1,Data!$C:$E,3)</f>
        <v>+18° 36' 50.8"</v>
      </c>
      <c r="L17" s="12" t="str">
        <f>VLOOKUP(L$2+$A17-1,Data!$C:$E,2)</f>
        <v>-0m 19s SS</v>
      </c>
      <c r="M17" s="12" t="str">
        <f>VLOOKUP(L$2+$A17-1,Data!$C:$E,3)</f>
        <v>+23° 15' 24.0"</v>
      </c>
      <c r="N17" s="7">
        <v>14</v>
      </c>
      <c r="Z17" s="7"/>
    </row>
    <row r="18" spans="1:26" s="8" customFormat="1" ht="12" x14ac:dyDescent="0.25">
      <c r="A18" s="13">
        <v>15</v>
      </c>
      <c r="B18" s="9" t="str">
        <f>VLOOKUP(B$2+$A18-1,Data!$C:$E,2)</f>
        <v>-9m 23s SS</v>
      </c>
      <c r="C18" s="9" t="str">
        <f>VLOOKUP(B$2+$A18-1,Data!$C:$E,3)</f>
        <v>-21° 07' 42.8"</v>
      </c>
      <c r="D18" s="10" t="str">
        <f>VLOOKUP(D$2+$A18-1,Data!$C:$E,2)</f>
        <v>-14m 5s SS</v>
      </c>
      <c r="E18" s="10" t="str">
        <f>VLOOKUP(D$2+$A18-1,Data!$C:$E,3)</f>
        <v>-12° 41' 19.0"</v>
      </c>
      <c r="F18" s="9" t="str">
        <f>VLOOKUP(F$2+$A18-1,Data!$C:$E,2)</f>
        <v>-8m 55s SS</v>
      </c>
      <c r="G18" s="9" t="str">
        <f>VLOOKUP(F$2+$A18-1,Data!$C:$E,3)</f>
        <v>-02° 09' 12.4"</v>
      </c>
      <c r="H18" s="10" t="str">
        <f>VLOOKUP(H$2+$A18-1,Data!$C:$E,2)</f>
        <v>-0m 3s SS</v>
      </c>
      <c r="I18" s="10" t="str">
        <f>VLOOKUP(H$2+$A18-1,Data!$C:$E,3)</f>
        <v>+09° 44' 54.7"</v>
      </c>
      <c r="J18" s="9" t="str">
        <f>VLOOKUP(J$2+$A18-1,Data!$C:$E,2)</f>
        <v>+3m 38s SF</v>
      </c>
      <c r="K18" s="9" t="str">
        <f>VLOOKUP(J$2+$A18-1,Data!$C:$E,3)</f>
        <v>+18° 51' 10.5"</v>
      </c>
      <c r="L18" s="10" t="str">
        <f>VLOOKUP(L$2+$A18-1,Data!$C:$E,2)</f>
        <v>-0m 31s SS</v>
      </c>
      <c r="M18" s="10" t="str">
        <f>VLOOKUP(L$2+$A18-1,Data!$C:$E,3)</f>
        <v>+23° 18' 09.8"</v>
      </c>
      <c r="N18" s="13">
        <v>15</v>
      </c>
      <c r="Z18" s="7"/>
    </row>
    <row r="19" spans="1:26" s="8" customFormat="1" ht="12" x14ac:dyDescent="0.25">
      <c r="A19" s="7">
        <v>16</v>
      </c>
      <c r="B19" s="11" t="str">
        <f>VLOOKUP(B$2+$A19-1,Data!$C:$E,2)</f>
        <v>-9m 44s SS</v>
      </c>
      <c r="C19" s="11" t="str">
        <f>VLOOKUP(B$2+$A19-1,Data!$C:$E,3)</f>
        <v>-20° 56' 29.6"</v>
      </c>
      <c r="D19" s="12" t="str">
        <f>VLOOKUP(D$2+$A19-1,Data!$C:$E,2)</f>
        <v>-14m 2s SS</v>
      </c>
      <c r="E19" s="12" t="str">
        <f>VLOOKUP(D$2+$A19-1,Data!$C:$E,3)</f>
        <v>-12° 20' 37.4"</v>
      </c>
      <c r="F19" s="11" t="str">
        <f>VLOOKUP(F$2+$A19-1,Data!$C:$E,2)</f>
        <v>-8m 38s SS</v>
      </c>
      <c r="G19" s="11" t="str">
        <f>VLOOKUP(F$2+$A19-1,Data!$C:$E,3)</f>
        <v>-01° 45' 31.1"</v>
      </c>
      <c r="H19" s="12" t="str">
        <f>VLOOKUP(H$2+$A19-1,Data!$C:$E,2)</f>
        <v>+0m 11s SF</v>
      </c>
      <c r="I19" s="12" t="str">
        <f>VLOOKUP(H$2+$A19-1,Data!$C:$E,3)</f>
        <v>+10° 06' 16.2"</v>
      </c>
      <c r="J19" s="11" t="str">
        <f>VLOOKUP(J$2+$A19-1,Data!$C:$E,2)</f>
        <v>+3m 37s SF</v>
      </c>
      <c r="K19" s="11" t="str">
        <f>VLOOKUP(J$2+$A19-1,Data!$C:$E,3)</f>
        <v>+19° 05' 11.1"</v>
      </c>
      <c r="L19" s="12" t="str">
        <f>VLOOKUP(L$2+$A19-1,Data!$C:$E,2)</f>
        <v>-0m 44s SS</v>
      </c>
      <c r="M19" s="12" t="str">
        <f>VLOOKUP(L$2+$A19-1,Data!$C:$E,3)</f>
        <v>+23° 20' 31.0"</v>
      </c>
      <c r="N19" s="7">
        <v>16</v>
      </c>
      <c r="Z19" s="7"/>
    </row>
    <row r="20" spans="1:26" s="8" customFormat="1" ht="12" x14ac:dyDescent="0.25">
      <c r="A20" s="7">
        <v>17</v>
      </c>
      <c r="B20" s="11" t="str">
        <f>VLOOKUP(B$2+$A20-1,Data!$C:$E,2)</f>
        <v>-10m 4s SS</v>
      </c>
      <c r="C20" s="11" t="str">
        <f>VLOOKUP(B$2+$A20-1,Data!$C:$E,3)</f>
        <v>-20° 44' 52.5"</v>
      </c>
      <c r="D20" s="12" t="str">
        <f>VLOOKUP(D$2+$A20-1,Data!$C:$E,2)</f>
        <v>-13m 58s SS</v>
      </c>
      <c r="E20" s="12" t="str">
        <f>VLOOKUP(D$2+$A20-1,Data!$C:$E,3)</f>
        <v>-11° 59' 44.0"</v>
      </c>
      <c r="F20" s="11" t="str">
        <f>VLOOKUP(F$2+$A20-1,Data!$C:$E,2)</f>
        <v>-8m 20s SS</v>
      </c>
      <c r="G20" s="11" t="str">
        <f>VLOOKUP(F$2+$A20-1,Data!$C:$E,3)</f>
        <v>-01° 21' 49.0"</v>
      </c>
      <c r="H20" s="12" t="str">
        <f>VLOOKUP(H$2+$A20-1,Data!$C:$E,2)</f>
        <v>+0m 25s SF</v>
      </c>
      <c r="I20" s="12" t="str">
        <f>VLOOKUP(H$2+$A20-1,Data!$C:$E,3)</f>
        <v>+10° 27' 27.6"</v>
      </c>
      <c r="J20" s="11" t="str">
        <f>VLOOKUP(J$2+$A20-1,Data!$C:$E,2)</f>
        <v>+3m 35s SF</v>
      </c>
      <c r="K20" s="11" t="str">
        <f>VLOOKUP(J$2+$A20-1,Data!$C:$E,3)</f>
        <v>+19° 18' 52.3"</v>
      </c>
      <c r="L20" s="12" t="str">
        <f>VLOOKUP(L$2+$A20-1,Data!$C:$E,2)</f>
        <v>-0m 57s SS</v>
      </c>
      <c r="M20" s="12" t="str">
        <f>VLOOKUP(L$2+$A20-1,Data!$C:$E,3)</f>
        <v>+23° 22' 27.5"</v>
      </c>
      <c r="N20" s="7">
        <v>17</v>
      </c>
      <c r="Z20" s="7"/>
    </row>
    <row r="21" spans="1:26" s="8" customFormat="1" ht="12" x14ac:dyDescent="0.25">
      <c r="A21" s="7">
        <v>18</v>
      </c>
      <c r="B21" s="11" t="str">
        <f>VLOOKUP(B$2+$A21-1,Data!$C:$E,2)</f>
        <v>-10m 23s SS</v>
      </c>
      <c r="C21" s="11" t="str">
        <f>VLOOKUP(B$2+$A21-1,Data!$C:$E,3)</f>
        <v>-20° 32' 51.7"</v>
      </c>
      <c r="D21" s="12" t="str">
        <f>VLOOKUP(D$2+$A21-1,Data!$C:$E,2)</f>
        <v>-13m 53s SS</v>
      </c>
      <c r="E21" s="12" t="str">
        <f>VLOOKUP(D$2+$A21-1,Data!$C:$E,3)</f>
        <v>-11° 38' 39.2"</v>
      </c>
      <c r="F21" s="11" t="str">
        <f>VLOOKUP(F$2+$A21-1,Data!$C:$E,2)</f>
        <v>-8m 3s SS</v>
      </c>
      <c r="G21" s="11" t="str">
        <f>VLOOKUP(F$2+$A21-1,Data!$C:$E,3)</f>
        <v>-00° 58' 06.5"</v>
      </c>
      <c r="H21" s="12" t="str">
        <f>VLOOKUP(H$2+$A21-1,Data!$C:$E,2)</f>
        <v>+0m 39s SF</v>
      </c>
      <c r="I21" s="12" t="str">
        <f>VLOOKUP(H$2+$A21-1,Data!$C:$E,3)</f>
        <v>+10° 48' 28.7"</v>
      </c>
      <c r="J21" s="11" t="str">
        <f>VLOOKUP(J$2+$A21-1,Data!$C:$E,2)</f>
        <v>+3m 33s SF</v>
      </c>
      <c r="K21" s="11" t="str">
        <f>VLOOKUP(J$2+$A21-1,Data!$C:$E,3)</f>
        <v>+19° 32' 13.9"</v>
      </c>
      <c r="L21" s="12" t="str">
        <f>VLOOKUP(L$2+$A21-1,Data!$C:$E,2)</f>
        <v>-1m 10s SS</v>
      </c>
      <c r="M21" s="12" t="str">
        <f>VLOOKUP(L$2+$A21-1,Data!$C:$E,3)</f>
        <v>+23° 23' 59.2"</v>
      </c>
      <c r="N21" s="7">
        <v>18</v>
      </c>
      <c r="Z21" s="7"/>
    </row>
    <row r="22" spans="1:26" s="8" customFormat="1" ht="12" x14ac:dyDescent="0.25">
      <c r="A22" s="7">
        <v>19</v>
      </c>
      <c r="B22" s="11" t="str">
        <f>VLOOKUP(B$2+$A22-1,Data!$C:$E,2)</f>
        <v>-10m 42s SS</v>
      </c>
      <c r="C22" s="11" t="str">
        <f>VLOOKUP(B$2+$A22-1,Data!$C:$E,3)</f>
        <v>-20° 20' 27.6"</v>
      </c>
      <c r="D22" s="12" t="str">
        <f>VLOOKUP(D$2+$A22-1,Data!$C:$E,2)</f>
        <v>-13m 47s SS</v>
      </c>
      <c r="E22" s="12" t="str">
        <f>VLOOKUP(D$2+$A22-1,Data!$C:$E,3)</f>
        <v>-11° 17' 23.3"</v>
      </c>
      <c r="F22" s="11" t="str">
        <f>VLOOKUP(F$2+$A22-1,Data!$C:$E,2)</f>
        <v>-7m 45s SS</v>
      </c>
      <c r="G22" s="11" t="str">
        <f>VLOOKUP(F$2+$A22-1,Data!$C:$E,3)</f>
        <v>-00° 34' 24.0"</v>
      </c>
      <c r="H22" s="12" t="str">
        <f>VLOOKUP(H$2+$A22-1,Data!$C:$E,2)</f>
        <v>+0m 52s SF</v>
      </c>
      <c r="I22" s="12" t="str">
        <f>VLOOKUP(H$2+$A22-1,Data!$C:$E,3)</f>
        <v>+11° 09' 19.2"</v>
      </c>
      <c r="J22" s="11" t="str">
        <f>VLOOKUP(J$2+$A22-1,Data!$C:$E,2)</f>
        <v>+3m 30s SF</v>
      </c>
      <c r="K22" s="11" t="str">
        <f>VLOOKUP(J$2+$A22-1,Data!$C:$E,3)</f>
        <v>+19° 45' 15.7"</v>
      </c>
      <c r="L22" s="12" t="str">
        <f>VLOOKUP(L$2+$A22-1,Data!$C:$E,2)</f>
        <v>-1m 23s SS</v>
      </c>
      <c r="M22" s="12" t="str">
        <f>VLOOKUP(L$2+$A22-1,Data!$C:$E,3)</f>
        <v>+23° 25' 06.3"</v>
      </c>
      <c r="N22" s="7">
        <v>19</v>
      </c>
      <c r="Z22" s="7"/>
    </row>
    <row r="23" spans="1:26" s="8" customFormat="1" ht="12" x14ac:dyDescent="0.25">
      <c r="A23" s="13">
        <v>20</v>
      </c>
      <c r="B23" s="9" t="str">
        <f>VLOOKUP(B$2+$A23-1,Data!$C:$E,2)</f>
        <v>-10m 59s SS</v>
      </c>
      <c r="C23" s="9" t="str">
        <f>VLOOKUP(B$2+$A23-1,Data!$C:$E,3)</f>
        <v>-20° 07' 40.6"</v>
      </c>
      <c r="D23" s="10" t="str">
        <f>VLOOKUP(D$2+$A23-1,Data!$C:$E,2)</f>
        <v>-13m 41s SS</v>
      </c>
      <c r="E23" s="10" t="str">
        <f>VLOOKUP(D$2+$A23-1,Data!$C:$E,3)</f>
        <v>-10° 55' 56.8"</v>
      </c>
      <c r="F23" s="9" t="str">
        <f>VLOOKUP(F$2+$A23-1,Data!$C:$E,2)</f>
        <v>-7m 28s SS</v>
      </c>
      <c r="G23" s="9" t="str">
        <f>VLOOKUP(F$2+$A23-1,Data!$C:$E,3)</f>
        <v>-00° 10' 41.7"</v>
      </c>
      <c r="H23" s="10" t="str">
        <f>VLOOKUP(H$2+$A23-1,Data!$C:$E,2)</f>
        <v>+1m 5s SF</v>
      </c>
      <c r="I23" s="10" t="str">
        <f>VLOOKUP(H$2+$A23-1,Data!$C:$E,3)</f>
        <v>+11° 29' 58.7"</v>
      </c>
      <c r="J23" s="9" t="str">
        <f>VLOOKUP(J$2+$A23-1,Data!$C:$E,2)</f>
        <v>+3m 27s SF</v>
      </c>
      <c r="K23" s="9" t="str">
        <f>VLOOKUP(J$2+$A23-1,Data!$C:$E,3)</f>
        <v>+19° 57' 57.4"</v>
      </c>
      <c r="L23" s="10" t="str">
        <f>VLOOKUP(L$2+$A23-1,Data!$C:$E,2)</f>
        <v>-1m 36s SS</v>
      </c>
      <c r="M23" s="10" t="str">
        <f>VLOOKUP(L$2+$A23-1,Data!$C:$E,3)</f>
        <v>+23° 25' 48.6"</v>
      </c>
      <c r="N23" s="13">
        <v>20</v>
      </c>
      <c r="Z23" s="7"/>
    </row>
    <row r="24" spans="1:26" s="8" customFormat="1" ht="12" x14ac:dyDescent="0.25">
      <c r="A24" s="7">
        <v>21</v>
      </c>
      <c r="B24" s="11" t="str">
        <f>VLOOKUP(B$2+$A24-1,Data!$C:$E,2)</f>
        <v>-11m 16s SS</v>
      </c>
      <c r="C24" s="11" t="str">
        <f>VLOOKUP(B$2+$A24-1,Data!$C:$E,3)</f>
        <v>-19° 54' 31.0"</v>
      </c>
      <c r="D24" s="12" t="str">
        <f>VLOOKUP(D$2+$A24-1,Data!$C:$E,2)</f>
        <v>-13m 34s SS</v>
      </c>
      <c r="E24" s="12" t="str">
        <f>VLOOKUP(D$2+$A24-1,Data!$C:$E,3)</f>
        <v>-10° 34' 20.1"</v>
      </c>
      <c r="F24" s="11" t="str">
        <f>VLOOKUP(F$2+$A24-1,Data!$C:$E,2)</f>
        <v>-7m 10s SS</v>
      </c>
      <c r="G24" s="11" t="str">
        <f>VLOOKUP(F$2+$A24-1,Data!$C:$E,3)</f>
        <v>+00° 13' 00.0"</v>
      </c>
      <c r="H24" s="12" t="str">
        <f>VLOOKUP(H$2+$A24-1,Data!$C:$E,2)</f>
        <v>+1m 17s SF</v>
      </c>
      <c r="I24" s="12" t="str">
        <f>VLOOKUP(H$2+$A24-1,Data!$C:$E,3)</f>
        <v>+11° 50' 27.0"</v>
      </c>
      <c r="J24" s="11" t="str">
        <f>VLOOKUP(J$2+$A24-1,Data!$C:$E,2)</f>
        <v>+3m 23s SF</v>
      </c>
      <c r="K24" s="11" t="str">
        <f>VLOOKUP(J$2+$A24-1,Data!$C:$E,3)</f>
        <v>+20° 10' 18.7"</v>
      </c>
      <c r="L24" s="12" t="str">
        <f>VLOOKUP(L$2+$A24-1,Data!$C:$E,2)</f>
        <v>-1m 49s SS</v>
      </c>
      <c r="M24" s="12" t="str">
        <f>VLOOKUP(L$2+$A24-1,Data!$C:$E,3)</f>
        <v>+23° 26' 06.1"</v>
      </c>
      <c r="N24" s="7">
        <v>21</v>
      </c>
      <c r="Z24" s="7"/>
    </row>
    <row r="25" spans="1:26" s="8" customFormat="1" ht="12" x14ac:dyDescent="0.25">
      <c r="A25" s="7">
        <v>22</v>
      </c>
      <c r="B25" s="11" t="str">
        <f>VLOOKUP(B$2+$A25-1,Data!$C:$E,2)</f>
        <v>-11m 33s SS</v>
      </c>
      <c r="C25" s="11" t="str">
        <f>VLOOKUP(B$2+$A25-1,Data!$C:$E,3)</f>
        <v>-19° 40' 59.0"</v>
      </c>
      <c r="D25" s="12" t="str">
        <f>VLOOKUP(D$2+$A25-1,Data!$C:$E,2)</f>
        <v>-13m 27s SS</v>
      </c>
      <c r="E25" s="12" t="str">
        <f>VLOOKUP(D$2+$A25-1,Data!$C:$E,3)</f>
        <v>-10° 12' 33.5"</v>
      </c>
      <c r="F25" s="11" t="str">
        <f>VLOOKUP(F$2+$A25-1,Data!$C:$E,2)</f>
        <v>-6m 52s SS</v>
      </c>
      <c r="G25" s="11" t="str">
        <f>VLOOKUP(F$2+$A25-1,Data!$C:$E,3)</f>
        <v>+00° 36' 40.8"</v>
      </c>
      <c r="H25" s="12" t="str">
        <f>VLOOKUP(H$2+$A25-1,Data!$C:$E,2)</f>
        <v>+1m 29s SF</v>
      </c>
      <c r="I25" s="12" t="str">
        <f>VLOOKUP(H$2+$A25-1,Data!$C:$E,3)</f>
        <v>+12° 10' 43.7"</v>
      </c>
      <c r="J25" s="11" t="str">
        <f>VLOOKUP(J$2+$A25-1,Data!$C:$E,2)</f>
        <v>+3m 19s SF</v>
      </c>
      <c r="K25" s="11" t="str">
        <f>VLOOKUP(J$2+$A25-1,Data!$C:$E,3)</f>
        <v>+20° 22' 19.4"</v>
      </c>
      <c r="L25" s="12" t="str">
        <f>VLOOKUP(L$2+$A25-1,Data!$C:$E,2)</f>
        <v>-2m 2s SS</v>
      </c>
      <c r="M25" s="12" t="str">
        <f>VLOOKUP(L$2+$A25-1,Data!$C:$E,3)</f>
        <v>+23° 25' 58.9"</v>
      </c>
      <c r="N25" s="7">
        <v>22</v>
      </c>
      <c r="Z25" s="7"/>
    </row>
    <row r="26" spans="1:26" s="8" customFormat="1" ht="12" x14ac:dyDescent="0.25">
      <c r="A26" s="7">
        <v>23</v>
      </c>
      <c r="B26" s="11" t="str">
        <f>VLOOKUP(B$2+$A26-1,Data!$C:$E,2)</f>
        <v>-11m 48s SS</v>
      </c>
      <c r="C26" s="11" t="str">
        <f>VLOOKUP(B$2+$A26-1,Data!$C:$E,3)</f>
        <v>-19° 27' 05.1"</v>
      </c>
      <c r="D26" s="12" t="str">
        <f>VLOOKUP(D$2+$A26-1,Data!$C:$E,2)</f>
        <v>-13m 19s SS</v>
      </c>
      <c r="E26" s="12" t="str">
        <f>VLOOKUP(D$2+$A26-1,Data!$C:$E,3)</f>
        <v>-09° 50' 37.4"</v>
      </c>
      <c r="F26" s="11" t="str">
        <f>VLOOKUP(F$2+$A26-1,Data!$C:$E,2)</f>
        <v>-6m 34s SS</v>
      </c>
      <c r="G26" s="11" t="str">
        <f>VLOOKUP(F$2+$A26-1,Data!$C:$E,3)</f>
        <v>+01° 00' 20.3"</v>
      </c>
      <c r="H26" s="12" t="str">
        <f>VLOOKUP(H$2+$A26-1,Data!$C:$E,2)</f>
        <v>+1m 40s SF</v>
      </c>
      <c r="I26" s="12" t="str">
        <f>VLOOKUP(H$2+$A26-1,Data!$C:$E,3)</f>
        <v>+12° 30' 48.5"</v>
      </c>
      <c r="J26" s="11" t="str">
        <f>VLOOKUP(J$2+$A26-1,Data!$C:$E,2)</f>
        <v>+3m 14s SF</v>
      </c>
      <c r="K26" s="11" t="str">
        <f>VLOOKUP(J$2+$A26-1,Data!$C:$E,3)</f>
        <v>+20° 33' 59.3"</v>
      </c>
      <c r="L26" s="12" t="str">
        <f>VLOOKUP(L$2+$A26-1,Data!$C:$E,2)</f>
        <v>-2m 15s SS</v>
      </c>
      <c r="M26" s="12" t="str">
        <f>VLOOKUP(L$2+$A26-1,Data!$C:$E,3)</f>
        <v>+23° 25' 26.8"</v>
      </c>
      <c r="N26" s="7">
        <v>23</v>
      </c>
      <c r="Z26" s="7"/>
    </row>
    <row r="27" spans="1:26" s="8" customFormat="1" ht="12" x14ac:dyDescent="0.25">
      <c r="A27" s="7">
        <v>24</v>
      </c>
      <c r="B27" s="11" t="str">
        <f>VLOOKUP(B$2+$A27-1,Data!$C:$E,2)</f>
        <v>-12m 3s SS</v>
      </c>
      <c r="C27" s="11" t="str">
        <f>VLOOKUP(B$2+$A27-1,Data!$C:$E,3)</f>
        <v>-19° 12' 49.7"</v>
      </c>
      <c r="D27" s="12" t="str">
        <f>VLOOKUP(D$2+$A27-1,Data!$C:$E,2)</f>
        <v>-13m 10s SS</v>
      </c>
      <c r="E27" s="12" t="str">
        <f>VLOOKUP(D$2+$A27-1,Data!$C:$E,3)</f>
        <v>-09° 28' 32.2"</v>
      </c>
      <c r="F27" s="11" t="str">
        <f>VLOOKUP(F$2+$A27-1,Data!$C:$E,2)</f>
        <v>-6m 16s SS</v>
      </c>
      <c r="G27" s="11" t="str">
        <f>VLOOKUP(F$2+$A27-1,Data!$C:$E,3)</f>
        <v>+01° 23' 58.2"</v>
      </c>
      <c r="H27" s="12" t="str">
        <f>VLOOKUP(H$2+$A27-1,Data!$C:$E,2)</f>
        <v>+1m 51s SF</v>
      </c>
      <c r="I27" s="12" t="str">
        <f>VLOOKUP(H$2+$A27-1,Data!$C:$E,3)</f>
        <v>+12° 50' 41.2"</v>
      </c>
      <c r="J27" s="11" t="str">
        <f>VLOOKUP(J$2+$A27-1,Data!$C:$E,2)</f>
        <v>+3m 9s SF</v>
      </c>
      <c r="K27" s="11" t="str">
        <f>VLOOKUP(J$2+$A27-1,Data!$C:$E,3)</f>
        <v>+20° 45' 18.1"</v>
      </c>
      <c r="L27" s="12" t="str">
        <f>VLOOKUP(L$2+$A27-1,Data!$C:$E,2)</f>
        <v>-2m 28s SS</v>
      </c>
      <c r="M27" s="12" t="str">
        <f>VLOOKUP(L$2+$A27-1,Data!$C:$E,3)</f>
        <v>+23° 24' 30.0"</v>
      </c>
      <c r="N27" s="7">
        <v>24</v>
      </c>
      <c r="Z27" s="7"/>
    </row>
    <row r="28" spans="1:26" s="8" customFormat="1" ht="12" x14ac:dyDescent="0.25">
      <c r="A28" s="13">
        <v>25</v>
      </c>
      <c r="B28" s="9" t="str">
        <f>VLOOKUP(B$2+$A28-1,Data!$C:$E,2)</f>
        <v>-12m 17s SS</v>
      </c>
      <c r="C28" s="9" t="str">
        <f>VLOOKUP(B$2+$A28-1,Data!$C:$E,3)</f>
        <v>-18° 58' 12.9"</v>
      </c>
      <c r="D28" s="10" t="str">
        <f>VLOOKUP(D$2+$A28-1,Data!$C:$E,2)</f>
        <v>-13m 1s SS</v>
      </c>
      <c r="E28" s="10" t="str">
        <f>VLOOKUP(D$2+$A28-1,Data!$C:$E,3)</f>
        <v>-09° 06' 18.4"</v>
      </c>
      <c r="F28" s="9" t="str">
        <f>VLOOKUP(F$2+$A28-1,Data!$C:$E,2)</f>
        <v>-5m 58s SS</v>
      </c>
      <c r="G28" s="9" t="str">
        <f>VLOOKUP(F$2+$A28-1,Data!$C:$E,3)</f>
        <v>+01° 47' 34.2"</v>
      </c>
      <c r="H28" s="10" t="str">
        <f>VLOOKUP(H$2+$A28-1,Data!$C:$E,2)</f>
        <v>+2m 2s SF</v>
      </c>
      <c r="I28" s="10" t="str">
        <f>VLOOKUP(H$2+$A28-1,Data!$C:$E,3)</f>
        <v>+13° 10' 21.3"</v>
      </c>
      <c r="J28" s="9" t="str">
        <f>VLOOKUP(J$2+$A28-1,Data!$C:$E,2)</f>
        <v>+3m 3s SF</v>
      </c>
      <c r="K28" s="9" t="str">
        <f>VLOOKUP(J$2+$A28-1,Data!$C:$E,3)</f>
        <v>+20° 56' 15.5"</v>
      </c>
      <c r="L28" s="10" t="str">
        <f>VLOOKUP(L$2+$A28-1,Data!$C:$E,2)</f>
        <v>-2m 41s SS</v>
      </c>
      <c r="M28" s="10" t="str">
        <f>VLOOKUP(L$2+$A28-1,Data!$C:$E,3)</f>
        <v>+23° 23' 08.4"</v>
      </c>
      <c r="N28" s="13">
        <v>25</v>
      </c>
      <c r="Z28" s="7"/>
    </row>
    <row r="29" spans="1:26" s="8" customFormat="1" ht="12" x14ac:dyDescent="0.25">
      <c r="A29" s="7">
        <v>26</v>
      </c>
      <c r="B29" s="11" t="str">
        <f>VLOOKUP(B$2+$A29-1,Data!$C:$E,2)</f>
        <v>-12m 30s SS</v>
      </c>
      <c r="C29" s="11" t="str">
        <f>VLOOKUP(B$2+$A29-1,Data!$C:$E,3)</f>
        <v>-18° 43' 15.3"</v>
      </c>
      <c r="D29" s="12" t="str">
        <f>VLOOKUP(D$2+$A29-1,Data!$C:$E,2)</f>
        <v>-12m 51s SS</v>
      </c>
      <c r="E29" s="12" t="str">
        <f>VLOOKUP(D$2+$A29-1,Data!$C:$E,3)</f>
        <v>-08° 43' 56.2"</v>
      </c>
      <c r="F29" s="11" t="str">
        <f>VLOOKUP(F$2+$A29-1,Data!$C:$E,2)</f>
        <v>-5m 40s SS</v>
      </c>
      <c r="G29" s="11" t="str">
        <f>VLOOKUP(F$2+$A29-1,Data!$C:$E,3)</f>
        <v>+02° 11' 07.9"</v>
      </c>
      <c r="H29" s="12" t="str">
        <f>VLOOKUP(H$2+$A29-1,Data!$C:$E,2)</f>
        <v>+2m 12s SF</v>
      </c>
      <c r="I29" s="12" t="str">
        <f>VLOOKUP(H$2+$A29-1,Data!$C:$E,3)</f>
        <v>+13° 29' 48.5"</v>
      </c>
      <c r="J29" s="11" t="str">
        <f>VLOOKUP(J$2+$A29-1,Data!$C:$E,2)</f>
        <v>+2m 56s SF</v>
      </c>
      <c r="K29" s="11" t="str">
        <f>VLOOKUP(J$2+$A29-1,Data!$C:$E,3)</f>
        <v>+21° 06' 51.4"</v>
      </c>
      <c r="L29" s="12" t="str">
        <f>VLOOKUP(L$2+$A29-1,Data!$C:$E,2)</f>
        <v>-2m 54s SS</v>
      </c>
      <c r="M29" s="12" t="str">
        <f>VLOOKUP(L$2+$A29-1,Data!$C:$E,3)</f>
        <v>+23° 21' 22.1"</v>
      </c>
      <c r="N29" s="7">
        <v>26</v>
      </c>
      <c r="Z29" s="7"/>
    </row>
    <row r="30" spans="1:26" s="8" customFormat="1" ht="12" x14ac:dyDescent="0.25">
      <c r="A30" s="7">
        <v>27</v>
      </c>
      <c r="B30" s="11" t="str">
        <f>VLOOKUP(B$2+$A30-1,Data!$C:$E,2)</f>
        <v>-12m 43s SS</v>
      </c>
      <c r="C30" s="11" t="str">
        <f>VLOOKUP(B$2+$A30-1,Data!$C:$E,3)</f>
        <v>-18° 27' 57.2"</v>
      </c>
      <c r="D30" s="12" t="str">
        <f>VLOOKUP(D$2+$A30-1,Data!$C:$E,2)</f>
        <v>-12m 41s SS</v>
      </c>
      <c r="E30" s="12" t="str">
        <f>VLOOKUP(D$2+$A30-1,Data!$C:$E,3)</f>
        <v>-08° 21' 26.2"</v>
      </c>
      <c r="F30" s="11" t="str">
        <f>VLOOKUP(F$2+$A30-1,Data!$C:$E,2)</f>
        <v>-5m 22s SS</v>
      </c>
      <c r="G30" s="11" t="str">
        <f>VLOOKUP(F$2+$A30-1,Data!$C:$E,3)</f>
        <v>+02° 34' 38.9"</v>
      </c>
      <c r="H30" s="12" t="str">
        <f>VLOOKUP(H$2+$A30-1,Data!$C:$E,2)</f>
        <v>+2m 21s SF</v>
      </c>
      <c r="I30" s="12" t="str">
        <f>VLOOKUP(H$2+$A30-1,Data!$C:$E,3)</f>
        <v>+13° 49' 02.5"</v>
      </c>
      <c r="J30" s="11" t="str">
        <f>VLOOKUP(J$2+$A30-1,Data!$C:$E,2)</f>
        <v>+2m 49s SF</v>
      </c>
      <c r="K30" s="11" t="str">
        <f>VLOOKUP(J$2+$A30-1,Data!$C:$E,3)</f>
        <v>+21° 17' 05.4"</v>
      </c>
      <c r="L30" s="12" t="str">
        <f>VLOOKUP(L$2+$A30-1,Data!$C:$E,2)</f>
        <v>-3m 6s SS</v>
      </c>
      <c r="M30" s="12" t="str">
        <f>VLOOKUP(L$2+$A30-1,Data!$C:$E,3)</f>
        <v>+23° 19' 11.1"</v>
      </c>
      <c r="N30" s="7">
        <v>27</v>
      </c>
      <c r="Z30" s="7"/>
    </row>
    <row r="31" spans="1:26" s="8" customFormat="1" ht="12" x14ac:dyDescent="0.25">
      <c r="A31" s="7">
        <v>28</v>
      </c>
      <c r="B31" s="11" t="str">
        <f>VLOOKUP(B$2+$A31-1,Data!$C:$E,2)</f>
        <v>-12m 54s SS</v>
      </c>
      <c r="C31" s="11" t="str">
        <f>VLOOKUP(B$2+$A31-1,Data!$C:$E,3)</f>
        <v>-18° 12' 18.9"</v>
      </c>
      <c r="D31" s="12" t="str">
        <f>VLOOKUP(D$2+$A31-1,Data!$C:$E,2)</f>
        <v>-12m 30s SS</v>
      </c>
      <c r="E31" s="12" t="str">
        <f>VLOOKUP(D$2+$A31-1,Data!$C:$E,3)</f>
        <v>-07° 58' 48.7"</v>
      </c>
      <c r="F31" s="11" t="str">
        <f>VLOOKUP(F$2+$A31-1,Data!$C:$E,2)</f>
        <v>-5m 4s SS</v>
      </c>
      <c r="G31" s="11" t="str">
        <f>VLOOKUP(F$2+$A31-1,Data!$C:$E,3)</f>
        <v>+02° 58' 07.0"</v>
      </c>
      <c r="H31" s="12" t="str">
        <f>VLOOKUP(H$2+$A31-1,Data!$C:$E,2)</f>
        <v>+2m 30s SF</v>
      </c>
      <c r="I31" s="12" t="str">
        <f>VLOOKUP(H$2+$A31-1,Data!$C:$E,3)</f>
        <v>+14° 08' 02.9"</v>
      </c>
      <c r="J31" s="11" t="str">
        <f>VLOOKUP(J$2+$A31-1,Data!$C:$E,2)</f>
        <v>+2m 42s SF</v>
      </c>
      <c r="K31" s="11" t="str">
        <f>VLOOKUP(J$2+$A31-1,Data!$C:$E,3)</f>
        <v>+21° 26' 57.4"</v>
      </c>
      <c r="L31" s="12" t="str">
        <f>VLOOKUP(L$2+$A31-1,Data!$C:$E,2)</f>
        <v>-3m 19s SS</v>
      </c>
      <c r="M31" s="12" t="str">
        <f>VLOOKUP(L$2+$A31-1,Data!$C:$E,3)</f>
        <v>+23° 16' 35.5"</v>
      </c>
      <c r="N31" s="7">
        <v>28</v>
      </c>
      <c r="Z31" s="7"/>
    </row>
    <row r="32" spans="1:26" s="8" customFormat="1" ht="12" x14ac:dyDescent="0.25">
      <c r="A32" s="7">
        <v>29</v>
      </c>
      <c r="B32" s="11" t="str">
        <f>VLOOKUP(B$2+$A32-1,Data!$C:$E,2)</f>
        <v>-13m 5s SS</v>
      </c>
      <c r="C32" s="11" t="str">
        <f>VLOOKUP(B$2+$A32-1,Data!$C:$E,3)</f>
        <v>-17° 56' 20.9"</v>
      </c>
      <c r="D32" s="12"/>
      <c r="E32" s="12"/>
      <c r="F32" s="11" t="str">
        <f>VLOOKUP(F$2+$A32-1,Data!$C:$E,2)</f>
        <v>-4m 46s SS</v>
      </c>
      <c r="G32" s="11" t="str">
        <f>VLOOKUP(F$2+$A32-1,Data!$C:$E,3)</f>
        <v>+03° 21' 31.7"</v>
      </c>
      <c r="H32" s="12" t="str">
        <f>VLOOKUP(H$2+$A32-1,Data!$C:$E,2)</f>
        <v>+2m 38s SF</v>
      </c>
      <c r="I32" s="12" t="str">
        <f>VLOOKUP(H$2+$A32-1,Data!$C:$E,3)</f>
        <v>+14° 26' 49.4"</v>
      </c>
      <c r="J32" s="11" t="str">
        <f>VLOOKUP(J$2+$A32-1,Data!$C:$E,2)</f>
        <v>+2m 34s SF</v>
      </c>
      <c r="K32" s="11" t="str">
        <f>VLOOKUP(J$2+$A32-1,Data!$C:$E,3)</f>
        <v>+21° 36' 27.1"</v>
      </c>
      <c r="L32" s="12" t="str">
        <f>VLOOKUP(L$2+$A32-1,Data!$C:$E,2)</f>
        <v>-3m 31s SS</v>
      </c>
      <c r="M32" s="12" t="str">
        <f>VLOOKUP(L$2+$A32-1,Data!$C:$E,3)</f>
        <v>+23° 13' 35.4"</v>
      </c>
      <c r="N32" s="7">
        <v>29</v>
      </c>
      <c r="Z32" s="7"/>
    </row>
    <row r="33" spans="1:26" s="8" customFormat="1" ht="12" x14ac:dyDescent="0.25">
      <c r="A33" s="13">
        <v>30</v>
      </c>
      <c r="B33" s="9" t="str">
        <f>VLOOKUP(B$2+$A33-1,Data!$C:$E,2)</f>
        <v>-13m 15s SS</v>
      </c>
      <c r="C33" s="9" t="str">
        <f>VLOOKUP(B$2+$A33-1,Data!$C:$E,3)</f>
        <v>-17° 40' 03.6"</v>
      </c>
      <c r="D33" s="10"/>
      <c r="E33" s="10"/>
      <c r="F33" s="9" t="str">
        <f>VLOOKUP(F$2+$A33-1,Data!$C:$E,2)</f>
        <v>-4m 28s SS</v>
      </c>
      <c r="G33" s="9" t="str">
        <f>VLOOKUP(F$2+$A33-1,Data!$C:$E,3)</f>
        <v>+03° 44' 52.6"</v>
      </c>
      <c r="H33" s="10" t="str">
        <f>VLOOKUP(H$2+$A33-1,Data!$C:$E,2)</f>
        <v>+2m 46s SF</v>
      </c>
      <c r="I33" s="10" t="str">
        <f>VLOOKUP(H$2+$A33-1,Data!$C:$E,3)</f>
        <v>+14° 45' 21.6"</v>
      </c>
      <c r="J33" s="9" t="str">
        <f>VLOOKUP(J$2+$A33-1,Data!$C:$E,2)</f>
        <v>+2m 26s SF</v>
      </c>
      <c r="K33" s="9" t="str">
        <f>VLOOKUP(J$2+$A33-1,Data!$C:$E,3)</f>
        <v>+21° 45' 34.3"</v>
      </c>
      <c r="L33" s="10" t="str">
        <f>VLOOKUP(L$2+$A33-1,Data!$C:$E,2)</f>
        <v>-3m 43s SS</v>
      </c>
      <c r="M33" s="10" t="str">
        <f>VLOOKUP(L$2+$A33-1,Data!$C:$E,3)</f>
        <v>+23° 10' 10.8"</v>
      </c>
      <c r="N33" s="13">
        <v>30</v>
      </c>
      <c r="Z33" s="7"/>
    </row>
    <row r="34" spans="1:26" s="8" customFormat="1" ht="12" x14ac:dyDescent="0.25">
      <c r="A34" s="7">
        <v>31</v>
      </c>
      <c r="B34" s="11" t="str">
        <f>VLOOKUP(B$2+$A34-1,Data!$C:$E,2)</f>
        <v>-13m 24s SS</v>
      </c>
      <c r="C34" s="11" t="str">
        <f>VLOOKUP(B$2+$A34-1,Data!$C:$E,3)</f>
        <v>-17° 23' 27.2"</v>
      </c>
      <c r="D34" s="12"/>
      <c r="E34" s="12"/>
      <c r="F34" s="11" t="str">
        <f>VLOOKUP(F$2+$A34-1,Data!$C:$E,2)</f>
        <v>-4m 10s SS</v>
      </c>
      <c r="G34" s="11" t="str">
        <f>VLOOKUP(F$2+$A34-1,Data!$C:$E,3)</f>
        <v>+04° 08' 09.3"</v>
      </c>
      <c r="H34" s="12"/>
      <c r="I34" s="12"/>
      <c r="J34" s="11" t="str">
        <f>VLOOKUP(J$2+$A34-1,Data!$C:$E,2)</f>
        <v>+2m 17s SF</v>
      </c>
      <c r="K34" s="11" t="str">
        <f>VLOOKUP(J$2+$A34-1,Data!$C:$E,3)</f>
        <v>+21° 54' 18.7"</v>
      </c>
      <c r="L34" s="12"/>
      <c r="M34" s="12"/>
      <c r="N34" s="7">
        <v>31</v>
      </c>
      <c r="Z34" s="7"/>
    </row>
    <row r="35" spans="1:26" s="3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Z35" s="2"/>
    </row>
    <row r="36" spans="1:26" s="1" customFormat="1" ht="21" x14ac:dyDescent="0.4">
      <c r="B36" s="4" t="s">
        <v>578</v>
      </c>
    </row>
    <row r="37" spans="1:26" x14ac:dyDescent="0.3">
      <c r="A37" s="7"/>
      <c r="B37" s="15">
        <v>44743</v>
      </c>
      <c r="C37" s="16"/>
      <c r="D37" s="14">
        <v>44774</v>
      </c>
      <c r="E37" s="14"/>
      <c r="F37" s="15">
        <v>44805</v>
      </c>
      <c r="G37" s="16"/>
      <c r="H37" s="14">
        <v>44835</v>
      </c>
      <c r="I37" s="14"/>
      <c r="J37" s="15">
        <v>44866</v>
      </c>
      <c r="K37" s="16"/>
      <c r="L37" s="14">
        <v>44896</v>
      </c>
      <c r="M37" s="14"/>
      <c r="N37" s="8"/>
    </row>
    <row r="38" spans="1:26" x14ac:dyDescent="0.3">
      <c r="A38" s="7"/>
      <c r="B38" s="9" t="s">
        <v>573</v>
      </c>
      <c r="C38" s="9" t="s">
        <v>574</v>
      </c>
      <c r="D38" s="10" t="s">
        <v>573</v>
      </c>
      <c r="E38" s="10" t="s">
        <v>574</v>
      </c>
      <c r="F38" s="9" t="s">
        <v>573</v>
      </c>
      <c r="G38" s="9" t="s">
        <v>574</v>
      </c>
      <c r="H38" s="10" t="s">
        <v>573</v>
      </c>
      <c r="I38" s="10" t="s">
        <v>574</v>
      </c>
      <c r="J38" s="9" t="s">
        <v>573</v>
      </c>
      <c r="K38" s="9" t="s">
        <v>574</v>
      </c>
      <c r="L38" s="10" t="s">
        <v>573</v>
      </c>
      <c r="M38" s="10" t="s">
        <v>574</v>
      </c>
      <c r="N38" s="8"/>
    </row>
    <row r="39" spans="1:26" s="6" customFormat="1" x14ac:dyDescent="0.3">
      <c r="A39" s="7">
        <v>1</v>
      </c>
      <c r="B39" s="11" t="str">
        <f>VLOOKUP(B$37+$A4-1,Data!$C:$E,2)</f>
        <v>-3m 55s SS</v>
      </c>
      <c r="C39" s="11" t="str">
        <f>VLOOKUP(B$37+$A4-1,Data!$C:$E,3)</f>
        <v>+23° 06' 21.8"</v>
      </c>
      <c r="D39" s="12" t="str">
        <f>VLOOKUP(D$37+$A4-1,Data!$C:$E,2)</f>
        <v>-6m 23s SS</v>
      </c>
      <c r="E39" s="12" t="str">
        <f>VLOOKUP(D$37+$A4-1,Data!$C:$E,3)</f>
        <v>+18° 01' 16.2"</v>
      </c>
      <c r="F39" s="11" t="str">
        <f>VLOOKUP(F$37+$A4-1,Data!$C:$E,2)</f>
        <v>-0m 2s SS</v>
      </c>
      <c r="G39" s="11" t="str">
        <f>VLOOKUP(F$37+$A4-1,Data!$C:$E,3)</f>
        <v>+08° 17' 31.7"</v>
      </c>
      <c r="H39" s="12" t="str">
        <f>VLOOKUP(H$37+$A4-1,Data!$C:$E,2)</f>
        <v>+10m 19s SF</v>
      </c>
      <c r="I39" s="12" t="str">
        <f>VLOOKUP(H$37+$A4-1,Data!$C:$E,3)</f>
        <v>-03° 10' 01.2"</v>
      </c>
      <c r="J39" s="11" t="str">
        <f>VLOOKUP(J$37+$A4-1,Data!$C:$E,2)</f>
        <v>+16m 25s SF</v>
      </c>
      <c r="K39" s="11" t="str">
        <f>VLOOKUP(J$37+$A4-1,Data!$C:$E,3)</f>
        <v>-14° 24' 29.6"</v>
      </c>
      <c r="L39" s="12" t="str">
        <f>VLOOKUP(L$37+$A4-1,Data!$C:$E,2)</f>
        <v>+11m 0s SF</v>
      </c>
      <c r="M39" s="12" t="str">
        <f>VLOOKUP(L$37+$A4-1,Data!$C:$E,3)</f>
        <v>-21° 47' 25.6"</v>
      </c>
      <c r="N39" s="7">
        <v>1</v>
      </c>
      <c r="Z39" s="5"/>
    </row>
    <row r="40" spans="1:26" x14ac:dyDescent="0.3">
      <c r="A40" s="7">
        <v>2</v>
      </c>
      <c r="B40" s="11" t="str">
        <f>VLOOKUP(B$37+$A5-1,Data!$C:$E,2)</f>
        <v>-4m 6s SS</v>
      </c>
      <c r="C40" s="11" t="str">
        <f>VLOOKUP(B$37+$A5-1,Data!$C:$E,3)</f>
        <v>+23° 02' 08.5"</v>
      </c>
      <c r="D40" s="12" t="str">
        <f>VLOOKUP(D$37+$A5-1,Data!$C:$E,2)</f>
        <v>-6m 19s SS</v>
      </c>
      <c r="E40" s="12" t="str">
        <f>VLOOKUP(D$37+$A5-1,Data!$C:$E,3)</f>
        <v>+17° 46' 02.0"</v>
      </c>
      <c r="F40" s="11" t="str">
        <f>VLOOKUP(F$37+$A5-1,Data!$C:$E,2)</f>
        <v>+0m 18s SF</v>
      </c>
      <c r="G40" s="11" t="str">
        <f>VLOOKUP(F$37+$A5-1,Data!$C:$E,3)</f>
        <v>+07° 55' 43.0"</v>
      </c>
      <c r="H40" s="12" t="str">
        <f>VLOOKUP(H$37+$A5-1,Data!$C:$E,2)</f>
        <v>+10m 39s SF</v>
      </c>
      <c r="I40" s="12" t="str">
        <f>VLOOKUP(H$37+$A5-1,Data!$C:$E,3)</f>
        <v>-03° 33' 16.2"</v>
      </c>
      <c r="J40" s="11" t="str">
        <f>VLOOKUP(J$37+$A5-1,Data!$C:$E,2)</f>
        <v>+16m 26s SF</v>
      </c>
      <c r="K40" s="11" t="str">
        <f>VLOOKUP(J$37+$A5-1,Data!$C:$E,3)</f>
        <v>-14° 43' 36.2"</v>
      </c>
      <c r="L40" s="12" t="str">
        <f>VLOOKUP(L$37+$A5-1,Data!$C:$E,2)</f>
        <v>+10m 37s SF</v>
      </c>
      <c r="M40" s="12" t="str">
        <f>VLOOKUP(L$37+$A5-1,Data!$C:$E,3)</f>
        <v>-21° 56' 34.5"</v>
      </c>
      <c r="N40" s="7">
        <v>2</v>
      </c>
    </row>
    <row r="41" spans="1:26" x14ac:dyDescent="0.3">
      <c r="A41" s="7">
        <v>3</v>
      </c>
      <c r="B41" s="11" t="str">
        <f>VLOOKUP(B$37+$A6-1,Data!$C:$E,2)</f>
        <v>-4m 18s SS</v>
      </c>
      <c r="C41" s="11" t="str">
        <f>VLOOKUP(B$37+$A6-1,Data!$C:$E,3)</f>
        <v>+22° 57' 31.1"</v>
      </c>
      <c r="D41" s="12" t="str">
        <f>VLOOKUP(D$37+$A6-1,Data!$C:$E,2)</f>
        <v>-6m 14s SS</v>
      </c>
      <c r="E41" s="12" t="str">
        <f>VLOOKUP(D$37+$A6-1,Data!$C:$E,3)</f>
        <v>+17° 30' 30.5"</v>
      </c>
      <c r="F41" s="11" t="str">
        <f>VLOOKUP(F$37+$A6-1,Data!$C:$E,2)</f>
        <v>+0m 37s SF</v>
      </c>
      <c r="G41" s="11" t="str">
        <f>VLOOKUP(F$37+$A6-1,Data!$C:$E,3)</f>
        <v>+07° 33' 46.9"</v>
      </c>
      <c r="H41" s="12" t="str">
        <f>VLOOKUP(H$37+$A6-1,Data!$C:$E,2)</f>
        <v>+10m 58s SF</v>
      </c>
      <c r="I41" s="12" t="str">
        <f>VLOOKUP(H$37+$A6-1,Data!$C:$E,3)</f>
        <v>-03° 56' 28.6"</v>
      </c>
      <c r="J41" s="11" t="str">
        <f>VLOOKUP(J$37+$A6-1,Data!$C:$E,2)</f>
        <v>+16m 26s SF</v>
      </c>
      <c r="K41" s="11" t="str">
        <f>VLOOKUP(J$37+$A6-1,Data!$C:$E,3)</f>
        <v>-15° 02' 28.4"</v>
      </c>
      <c r="L41" s="12" t="str">
        <f>VLOOKUP(L$37+$A6-1,Data!$C:$E,2)</f>
        <v>+10m 14s SF</v>
      </c>
      <c r="M41" s="12" t="str">
        <f>VLOOKUP(L$37+$A6-1,Data!$C:$E,3)</f>
        <v>-22° 05' 18.0"</v>
      </c>
      <c r="N41" s="7">
        <v>3</v>
      </c>
    </row>
    <row r="42" spans="1:26" x14ac:dyDescent="0.3">
      <c r="A42" s="7">
        <v>4</v>
      </c>
      <c r="B42" s="11" t="str">
        <f>VLOOKUP(B$37+$A7-1,Data!$C:$E,2)</f>
        <v>-4m 28s SS</v>
      </c>
      <c r="C42" s="11" t="str">
        <f>VLOOKUP(B$37+$A7-1,Data!$C:$E,3)</f>
        <v>+22° 52' 29.6"</v>
      </c>
      <c r="D42" s="12" t="str">
        <f>VLOOKUP(D$37+$A7-1,Data!$C:$E,2)</f>
        <v>-6m 9s SS</v>
      </c>
      <c r="E42" s="12" t="str">
        <f>VLOOKUP(D$37+$A7-1,Data!$C:$E,3)</f>
        <v>+17° 14' 42.0"</v>
      </c>
      <c r="F42" s="11" t="str">
        <f>VLOOKUP(F$37+$A7-1,Data!$C:$E,2)</f>
        <v>+0m 57s SF</v>
      </c>
      <c r="G42" s="11" t="str">
        <f>VLOOKUP(F$37+$A7-1,Data!$C:$E,3)</f>
        <v>+07° 11' 43.5"</v>
      </c>
      <c r="H42" s="12" t="str">
        <f>VLOOKUP(H$37+$A7-1,Data!$C:$E,2)</f>
        <v>+11m 16s SF</v>
      </c>
      <c r="I42" s="12" t="str">
        <f>VLOOKUP(H$37+$A7-1,Data!$C:$E,3)</f>
        <v>-04° 19' 38.2"</v>
      </c>
      <c r="J42" s="11" t="str">
        <f>VLOOKUP(J$37+$A7-1,Data!$C:$E,2)</f>
        <v>+16m 26s SF</v>
      </c>
      <c r="K42" s="11" t="str">
        <f>VLOOKUP(J$37+$A7-1,Data!$C:$E,3)</f>
        <v>-15° 21' 05.8"</v>
      </c>
      <c r="L42" s="12" t="str">
        <f>VLOOKUP(L$37+$A7-1,Data!$C:$E,2)</f>
        <v>+9m 50s SF</v>
      </c>
      <c r="M42" s="12" t="str">
        <f>VLOOKUP(L$37+$A7-1,Data!$C:$E,3)</f>
        <v>-22° 13' 36.0"</v>
      </c>
      <c r="N42" s="7">
        <v>4</v>
      </c>
    </row>
    <row r="43" spans="1:26" x14ac:dyDescent="0.3">
      <c r="A43" s="13">
        <v>5</v>
      </c>
      <c r="B43" s="9" t="str">
        <f>VLOOKUP(B$37+$A8-1,Data!$C:$E,2)</f>
        <v>-4m 39s SS</v>
      </c>
      <c r="C43" s="9" t="str">
        <f>VLOOKUP(B$37+$A8-1,Data!$C:$E,3)</f>
        <v>+22° 47' 04.2"</v>
      </c>
      <c r="D43" s="10" t="str">
        <f>VLOOKUP(D$37+$A8-1,Data!$C:$E,2)</f>
        <v>-6m 3s SS</v>
      </c>
      <c r="E43" s="10" t="str">
        <f>VLOOKUP(D$37+$A8-1,Data!$C:$E,3)</f>
        <v>+16° 58' 36.8"</v>
      </c>
      <c r="F43" s="9" t="str">
        <f>VLOOKUP(F$37+$A8-1,Data!$C:$E,2)</f>
        <v>+1m 17s SF</v>
      </c>
      <c r="G43" s="9" t="str">
        <f>VLOOKUP(F$37+$A8-1,Data!$C:$E,3)</f>
        <v>+06° 49' 33.2"</v>
      </c>
      <c r="H43" s="10" t="str">
        <f>VLOOKUP(H$37+$A8-1,Data!$C:$E,2)</f>
        <v>+11m 34s SF</v>
      </c>
      <c r="I43" s="10" t="str">
        <f>VLOOKUP(H$37+$A8-1,Data!$C:$E,3)</f>
        <v>-04° 42' 44.4"</v>
      </c>
      <c r="J43" s="9" t="str">
        <f>VLOOKUP(J$37+$A8-1,Data!$C:$E,2)</f>
        <v>+16m 25s SF</v>
      </c>
      <c r="K43" s="9" t="str">
        <f>VLOOKUP(J$37+$A8-1,Data!$C:$E,3)</f>
        <v>-15° 39' 28.1"</v>
      </c>
      <c r="L43" s="10" t="str">
        <f>VLOOKUP(L$37+$A8-1,Data!$C:$E,2)</f>
        <v>+9m 26s SF</v>
      </c>
      <c r="M43" s="10" t="str">
        <f>VLOOKUP(L$37+$A8-1,Data!$C:$E,3)</f>
        <v>-22° 21' 28.1"</v>
      </c>
      <c r="N43" s="13">
        <v>5</v>
      </c>
    </row>
    <row r="44" spans="1:26" x14ac:dyDescent="0.3">
      <c r="A44" s="7">
        <v>6</v>
      </c>
      <c r="B44" s="11" t="str">
        <f>VLOOKUP(B$37+$A9-1,Data!$C:$E,2)</f>
        <v>-4m 49s SS</v>
      </c>
      <c r="C44" s="11" t="str">
        <f>VLOOKUP(B$37+$A9-1,Data!$C:$E,3)</f>
        <v>+22° 41' 15.0"</v>
      </c>
      <c r="D44" s="12" t="str">
        <f>VLOOKUP(D$37+$A9-1,Data!$C:$E,2)</f>
        <v>-5m 56s SS</v>
      </c>
      <c r="E44" s="12" t="str">
        <f>VLOOKUP(D$37+$A9-1,Data!$C:$E,3)</f>
        <v>+16° 42' 15.3"</v>
      </c>
      <c r="F44" s="11" t="str">
        <f>VLOOKUP(F$37+$A9-1,Data!$C:$E,2)</f>
        <v>+1m 37s SF</v>
      </c>
      <c r="G44" s="11" t="str">
        <f>VLOOKUP(F$37+$A9-1,Data!$C:$E,3)</f>
        <v>+06° 27' 16.4"</v>
      </c>
      <c r="H44" s="12" t="str">
        <f>VLOOKUP(H$37+$A9-1,Data!$C:$E,2)</f>
        <v>+11m 52s SF</v>
      </c>
      <c r="I44" s="12" t="str">
        <f>VLOOKUP(H$37+$A9-1,Data!$C:$E,3)</f>
        <v>-05° 05' 47.1"</v>
      </c>
      <c r="J44" s="11" t="str">
        <f>VLOOKUP(J$37+$A9-1,Data!$C:$E,2)</f>
        <v>+16m 23s SF</v>
      </c>
      <c r="K44" s="11" t="str">
        <f>VLOOKUP(J$37+$A9-1,Data!$C:$E,3)</f>
        <v>-15° 57' 34.8"</v>
      </c>
      <c r="L44" s="12" t="str">
        <f>VLOOKUP(L$37+$A9-1,Data!$C:$E,2)</f>
        <v>+9m 1s SF</v>
      </c>
      <c r="M44" s="12" t="str">
        <f>VLOOKUP(L$37+$A9-1,Data!$C:$E,3)</f>
        <v>-22° 28' 54.2"</v>
      </c>
      <c r="N44" s="7">
        <v>6</v>
      </c>
    </row>
    <row r="45" spans="1:26" x14ac:dyDescent="0.3">
      <c r="A45" s="7">
        <v>7</v>
      </c>
      <c r="B45" s="11" t="str">
        <f>VLOOKUP(B$37+$A10-1,Data!$C:$E,2)</f>
        <v>-4m 59s SS</v>
      </c>
      <c r="C45" s="11" t="str">
        <f>VLOOKUP(B$37+$A10-1,Data!$C:$E,3)</f>
        <v>+22° 35' 02.2"</v>
      </c>
      <c r="D45" s="12" t="str">
        <f>VLOOKUP(D$37+$A10-1,Data!$C:$E,2)</f>
        <v>-5m 49s SS</v>
      </c>
      <c r="E45" s="12" t="str">
        <f>VLOOKUP(D$37+$A10-1,Data!$C:$E,3)</f>
        <v>+16° 25' 37.7"</v>
      </c>
      <c r="F45" s="11" t="str">
        <f>VLOOKUP(F$37+$A10-1,Data!$C:$E,2)</f>
        <v>+1m 58s SF</v>
      </c>
      <c r="G45" s="11" t="str">
        <f>VLOOKUP(F$37+$A10-1,Data!$C:$E,3)</f>
        <v>+06° 04' 53.4"</v>
      </c>
      <c r="H45" s="12" t="str">
        <f>VLOOKUP(H$37+$A10-1,Data!$C:$E,2)</f>
        <v>+12m 10s SF</v>
      </c>
      <c r="I45" s="12" t="str">
        <f>VLOOKUP(H$37+$A10-1,Data!$C:$E,3)</f>
        <v>-05° 28' 45.9"</v>
      </c>
      <c r="J45" s="11" t="str">
        <f>VLOOKUP(J$37+$A10-1,Data!$C:$E,2)</f>
        <v>+16m 20s SF</v>
      </c>
      <c r="K45" s="11" t="str">
        <f>VLOOKUP(J$37+$A10-1,Data!$C:$E,3)</f>
        <v>-16° 15' 25.5"</v>
      </c>
      <c r="L45" s="12" t="str">
        <f>VLOOKUP(L$37+$A10-1,Data!$C:$E,2)</f>
        <v>+8m 35s SF</v>
      </c>
      <c r="M45" s="12" t="str">
        <f>VLOOKUP(L$37+$A10-1,Data!$C:$E,3)</f>
        <v>-22° 35' 54.0"</v>
      </c>
      <c r="N45" s="7">
        <v>7</v>
      </c>
    </row>
    <row r="46" spans="1:26" x14ac:dyDescent="0.3">
      <c r="A46" s="7">
        <v>8</v>
      </c>
      <c r="B46" s="11" t="str">
        <f>VLOOKUP(B$37+$A11-1,Data!$C:$E,2)</f>
        <v>-5m 8s SS</v>
      </c>
      <c r="C46" s="11" t="str">
        <f>VLOOKUP(B$37+$A11-1,Data!$C:$E,3)</f>
        <v>+22° 28' 26.0"</v>
      </c>
      <c r="D46" s="12" t="str">
        <f>VLOOKUP(D$37+$A11-1,Data!$C:$E,2)</f>
        <v>-5m 41s SS</v>
      </c>
      <c r="E46" s="12" t="str">
        <f>VLOOKUP(D$37+$A11-1,Data!$C:$E,3)</f>
        <v>+16° 08' 44.3"</v>
      </c>
      <c r="F46" s="11" t="str">
        <f>VLOOKUP(F$37+$A11-1,Data!$C:$E,2)</f>
        <v>+2m 18s SF</v>
      </c>
      <c r="G46" s="11" t="str">
        <f>VLOOKUP(F$37+$A11-1,Data!$C:$E,3)</f>
        <v>+05° 42' 24.5"</v>
      </c>
      <c r="H46" s="12" t="str">
        <f>VLOOKUP(H$37+$A11-1,Data!$C:$E,2)</f>
        <v>+12m 27s SF</v>
      </c>
      <c r="I46" s="12" t="str">
        <f>VLOOKUP(H$37+$A11-1,Data!$C:$E,3)</f>
        <v>-05° 51' 40.4"</v>
      </c>
      <c r="J46" s="11" t="str">
        <f>VLOOKUP(J$37+$A11-1,Data!$C:$E,2)</f>
        <v>+16m 16s SF</v>
      </c>
      <c r="K46" s="11" t="str">
        <f>VLOOKUP(J$37+$A11-1,Data!$C:$E,3)</f>
        <v>-16° 32' 59.9"</v>
      </c>
      <c r="L46" s="12" t="str">
        <f>VLOOKUP(L$37+$A11-1,Data!$C:$E,2)</f>
        <v>+8m 9s SF</v>
      </c>
      <c r="M46" s="12" t="str">
        <f>VLOOKUP(L$37+$A11-1,Data!$C:$E,3)</f>
        <v>-22° 42' 27.3"</v>
      </c>
      <c r="N46" s="7">
        <v>8</v>
      </c>
    </row>
    <row r="47" spans="1:26" x14ac:dyDescent="0.3">
      <c r="A47" s="7">
        <v>9</v>
      </c>
      <c r="B47" s="11" t="str">
        <f>VLOOKUP(B$37+$A12-1,Data!$C:$E,2)</f>
        <v>-5m 17s SS</v>
      </c>
      <c r="C47" s="11" t="str">
        <f>VLOOKUP(B$37+$A12-1,Data!$C:$E,3)</f>
        <v>+22° 21' 26.5"</v>
      </c>
      <c r="D47" s="12" t="str">
        <f>VLOOKUP(D$37+$A12-1,Data!$C:$E,2)</f>
        <v>-5m 33s SS</v>
      </c>
      <c r="E47" s="12" t="str">
        <f>VLOOKUP(D$37+$A12-1,Data!$C:$E,3)</f>
        <v>+15° 51' 35.5"</v>
      </c>
      <c r="F47" s="11" t="str">
        <f>VLOOKUP(F$37+$A12-1,Data!$C:$E,2)</f>
        <v>+2m 39s SF</v>
      </c>
      <c r="G47" s="11" t="str">
        <f>VLOOKUP(F$37+$A12-1,Data!$C:$E,3)</f>
        <v>+05° 19' 49.9"</v>
      </c>
      <c r="H47" s="12" t="str">
        <f>VLOOKUP(H$37+$A12-1,Data!$C:$E,2)</f>
        <v>+12m 44s SF</v>
      </c>
      <c r="I47" s="12" t="str">
        <f>VLOOKUP(H$37+$A12-1,Data!$C:$E,3)</f>
        <v>-06° 14' 30.3"</v>
      </c>
      <c r="J47" s="11" t="str">
        <f>VLOOKUP(J$37+$A12-1,Data!$C:$E,2)</f>
        <v>+16m 11s SF</v>
      </c>
      <c r="K47" s="11" t="str">
        <f>VLOOKUP(J$37+$A12-1,Data!$C:$E,3)</f>
        <v>-16° 50' 17.6"</v>
      </c>
      <c r="L47" s="12" t="str">
        <f>VLOOKUP(L$37+$A12-1,Data!$C:$E,2)</f>
        <v>+7m 43s SF</v>
      </c>
      <c r="M47" s="12" t="str">
        <f>VLOOKUP(L$37+$A12-1,Data!$C:$E,3)</f>
        <v>-22° 48' 33.9"</v>
      </c>
      <c r="N47" s="7">
        <v>9</v>
      </c>
    </row>
    <row r="48" spans="1:26" x14ac:dyDescent="0.3">
      <c r="A48" s="13">
        <v>10</v>
      </c>
      <c r="B48" s="9" t="str">
        <f>VLOOKUP(B$37+$A13-1,Data!$C:$E,2)</f>
        <v>-5m 26s SS</v>
      </c>
      <c r="C48" s="9" t="str">
        <f>VLOOKUP(B$37+$A13-1,Data!$C:$E,3)</f>
        <v>+22° 14' 03.9"</v>
      </c>
      <c r="D48" s="10" t="str">
        <f>VLOOKUP(D$37+$A13-1,Data!$C:$E,2)</f>
        <v>-5m 24s SS</v>
      </c>
      <c r="E48" s="10" t="str">
        <f>VLOOKUP(D$37+$A13-1,Data!$C:$E,3)</f>
        <v>+15° 34' 11.6"</v>
      </c>
      <c r="F48" s="9" t="str">
        <f>VLOOKUP(F$37+$A13-1,Data!$C:$E,2)</f>
        <v>+3m 0s SF</v>
      </c>
      <c r="G48" s="9" t="str">
        <f>VLOOKUP(F$37+$A13-1,Data!$C:$E,3)</f>
        <v>+04° 57' 10.0"</v>
      </c>
      <c r="H48" s="10" t="str">
        <f>VLOOKUP(H$37+$A13-1,Data!$C:$E,2)</f>
        <v>+13m 0s SF</v>
      </c>
      <c r="I48" s="10" t="str">
        <f>VLOOKUP(H$37+$A13-1,Data!$C:$E,3)</f>
        <v>-06° 37' 15.3"</v>
      </c>
      <c r="J48" s="9" t="str">
        <f>VLOOKUP(J$37+$A13-1,Data!$C:$E,2)</f>
        <v>+16m 6s SF</v>
      </c>
      <c r="K48" s="9" t="str">
        <f>VLOOKUP(J$37+$A13-1,Data!$C:$E,3)</f>
        <v>-17° 07' 18.2"</v>
      </c>
      <c r="L48" s="10" t="str">
        <f>VLOOKUP(L$37+$A13-1,Data!$C:$E,2)</f>
        <v>+7m 16s SF</v>
      </c>
      <c r="M48" s="10" t="str">
        <f>VLOOKUP(L$37+$A13-1,Data!$C:$E,3)</f>
        <v>-22° 54' 13.6"</v>
      </c>
      <c r="N48" s="13">
        <v>10</v>
      </c>
    </row>
    <row r="49" spans="1:14" x14ac:dyDescent="0.3">
      <c r="A49" s="7">
        <v>11</v>
      </c>
      <c r="B49" s="11" t="str">
        <f>VLOOKUP(B$37+$A14-1,Data!$C:$E,2)</f>
        <v>-5m 34s SS</v>
      </c>
      <c r="C49" s="11" t="str">
        <f>VLOOKUP(B$37+$A14-1,Data!$C:$E,3)</f>
        <v>+22° 06' 18.4"</v>
      </c>
      <c r="D49" s="12" t="str">
        <f>VLOOKUP(D$37+$A14-1,Data!$C:$E,2)</f>
        <v>-5m 14s SS</v>
      </c>
      <c r="E49" s="12" t="str">
        <f>VLOOKUP(D$37+$A14-1,Data!$C:$E,3)</f>
        <v>+15° 16' 32.8"</v>
      </c>
      <c r="F49" s="11" t="str">
        <f>VLOOKUP(F$37+$A14-1,Data!$C:$E,2)</f>
        <v>+3m 21s SF</v>
      </c>
      <c r="G49" s="11" t="str">
        <f>VLOOKUP(F$37+$A14-1,Data!$C:$E,3)</f>
        <v>+04° 34' 25.1"</v>
      </c>
      <c r="H49" s="12" t="str">
        <f>VLOOKUP(H$37+$A14-1,Data!$C:$E,2)</f>
        <v>+13m 16s SF</v>
      </c>
      <c r="I49" s="12" t="str">
        <f>VLOOKUP(H$37+$A14-1,Data!$C:$E,3)</f>
        <v>-06° 59' 55.0"</v>
      </c>
      <c r="J49" s="11" t="str">
        <f>VLOOKUP(J$37+$A14-1,Data!$C:$E,2)</f>
        <v>+16m 0s SF</v>
      </c>
      <c r="K49" s="11" t="str">
        <f>VLOOKUP(J$37+$A14-1,Data!$C:$E,3)</f>
        <v>-17° 24' 01.4"</v>
      </c>
      <c r="L49" s="12" t="str">
        <f>VLOOKUP(L$37+$A14-1,Data!$C:$E,2)</f>
        <v>+6m 48s SF</v>
      </c>
      <c r="M49" s="12" t="str">
        <f>VLOOKUP(L$37+$A14-1,Data!$C:$E,3)</f>
        <v>-22° 59' 26.2"</v>
      </c>
      <c r="N49" s="7">
        <v>11</v>
      </c>
    </row>
    <row r="50" spans="1:14" x14ac:dyDescent="0.3">
      <c r="A50" s="7">
        <v>12</v>
      </c>
      <c r="B50" s="11" t="str">
        <f>VLOOKUP(B$37+$A15-1,Data!$C:$E,2)</f>
        <v>-5m 41s SS</v>
      </c>
      <c r="C50" s="11" t="str">
        <f>VLOOKUP(B$37+$A15-1,Data!$C:$E,3)</f>
        <v>+21° 58' 10.2"</v>
      </c>
      <c r="D50" s="12" t="str">
        <f>VLOOKUP(D$37+$A15-1,Data!$C:$E,2)</f>
        <v>-5m 4s SS</v>
      </c>
      <c r="E50" s="12" t="str">
        <f>VLOOKUP(D$37+$A15-1,Data!$C:$E,3)</f>
        <v>+14° 58' 39.4"</v>
      </c>
      <c r="F50" s="11" t="str">
        <f>VLOOKUP(F$37+$A15-1,Data!$C:$E,2)</f>
        <v>+3m 43s SF</v>
      </c>
      <c r="G50" s="11" t="str">
        <f>VLOOKUP(F$37+$A15-1,Data!$C:$E,3)</f>
        <v>+04° 11' 35.4"</v>
      </c>
      <c r="H50" s="12" t="str">
        <f>VLOOKUP(H$37+$A15-1,Data!$C:$E,2)</f>
        <v>+13m 31s SF</v>
      </c>
      <c r="I50" s="12" t="str">
        <f>VLOOKUP(H$37+$A15-1,Data!$C:$E,3)</f>
        <v>-07° 22' 29.0"</v>
      </c>
      <c r="J50" s="11" t="str">
        <f>VLOOKUP(J$37+$A15-1,Data!$C:$E,2)</f>
        <v>+15m 53s SF</v>
      </c>
      <c r="K50" s="11" t="str">
        <f>VLOOKUP(J$37+$A15-1,Data!$C:$E,3)</f>
        <v>-17° 40' 26.7"</v>
      </c>
      <c r="L50" s="12" t="str">
        <f>VLOOKUP(L$37+$A15-1,Data!$C:$E,2)</f>
        <v>+6m 21s SF</v>
      </c>
      <c r="M50" s="12" t="str">
        <f>VLOOKUP(L$37+$A15-1,Data!$C:$E,3)</f>
        <v>-23° 04' 11.7"</v>
      </c>
      <c r="N50" s="7">
        <v>12</v>
      </c>
    </row>
    <row r="51" spans="1:14" x14ac:dyDescent="0.3">
      <c r="A51" s="7">
        <v>13</v>
      </c>
      <c r="B51" s="11" t="str">
        <f>VLOOKUP(B$37+$A16-1,Data!$C:$E,2)</f>
        <v>-5m 48s SS</v>
      </c>
      <c r="C51" s="11" t="str">
        <f>VLOOKUP(B$37+$A16-1,Data!$C:$E,3)</f>
        <v>+21° 49' 39.4"</v>
      </c>
      <c r="D51" s="12" t="str">
        <f>VLOOKUP(D$37+$A16-1,Data!$C:$E,2)</f>
        <v>-4m 53s SS</v>
      </c>
      <c r="E51" s="12" t="str">
        <f>VLOOKUP(D$37+$A16-1,Data!$C:$E,3)</f>
        <v>+14° 40' 31.7"</v>
      </c>
      <c r="F51" s="11" t="str">
        <f>VLOOKUP(F$37+$A16-1,Data!$C:$E,2)</f>
        <v>+4m 4s SF</v>
      </c>
      <c r="G51" s="11" t="str">
        <f>VLOOKUP(F$37+$A16-1,Data!$C:$E,3)</f>
        <v>+03° 48' 41.3"</v>
      </c>
      <c r="H51" s="12" t="str">
        <f>VLOOKUP(H$37+$A16-1,Data!$C:$E,2)</f>
        <v>+13m 46s SF</v>
      </c>
      <c r="I51" s="12" t="str">
        <f>VLOOKUP(H$37+$A16-1,Data!$C:$E,3)</f>
        <v>-07° 44' 57.2"</v>
      </c>
      <c r="J51" s="11" t="str">
        <f>VLOOKUP(J$37+$A16-1,Data!$C:$E,2)</f>
        <v>+15m 45s SF</v>
      </c>
      <c r="K51" s="11" t="str">
        <f>VLOOKUP(J$37+$A16-1,Data!$C:$E,3)</f>
        <v>-17° 56' 33.8"</v>
      </c>
      <c r="L51" s="12" t="str">
        <f>VLOOKUP(L$37+$A16-1,Data!$C:$E,2)</f>
        <v>+5m 52s SF</v>
      </c>
      <c r="M51" s="12" t="str">
        <f>VLOOKUP(L$37+$A16-1,Data!$C:$E,3)</f>
        <v>-23° 08' 29.7"</v>
      </c>
      <c r="N51" s="7">
        <v>13</v>
      </c>
    </row>
    <row r="52" spans="1:14" x14ac:dyDescent="0.3">
      <c r="A52" s="7">
        <v>14</v>
      </c>
      <c r="B52" s="11" t="str">
        <f>VLOOKUP(B$37+$A17-1,Data!$C:$E,2)</f>
        <v>-5m 55s SS</v>
      </c>
      <c r="C52" s="11" t="str">
        <f>VLOOKUP(B$37+$A17-1,Data!$C:$E,3)</f>
        <v>+21° 40' 46.2"</v>
      </c>
      <c r="D52" s="12" t="str">
        <f>VLOOKUP(D$37+$A17-1,Data!$C:$E,2)</f>
        <v>-4m 42s SS</v>
      </c>
      <c r="E52" s="12" t="str">
        <f>VLOOKUP(D$37+$A17-1,Data!$C:$E,3)</f>
        <v>+14° 22' 10.0"</v>
      </c>
      <c r="F52" s="11" t="str">
        <f>VLOOKUP(F$37+$A17-1,Data!$C:$E,2)</f>
        <v>+4m 26s SF</v>
      </c>
      <c r="G52" s="11" t="str">
        <f>VLOOKUP(F$37+$A17-1,Data!$C:$E,3)</f>
        <v>+03° 25' 43.0"</v>
      </c>
      <c r="H52" s="12" t="str">
        <f>VLOOKUP(H$37+$A17-1,Data!$C:$E,2)</f>
        <v>+14m 0s SF</v>
      </c>
      <c r="I52" s="12" t="str">
        <f>VLOOKUP(H$37+$A17-1,Data!$C:$E,3)</f>
        <v>-08° 07' 19.0"</v>
      </c>
      <c r="J52" s="11" t="str">
        <f>VLOOKUP(J$37+$A17-1,Data!$C:$E,2)</f>
        <v>+15m 36s SF</v>
      </c>
      <c r="K52" s="11" t="str">
        <f>VLOOKUP(J$37+$A17-1,Data!$C:$E,3)</f>
        <v>-18° 12' 22.3"</v>
      </c>
      <c r="L52" s="12" t="str">
        <f>VLOOKUP(L$37+$A17-1,Data!$C:$E,2)</f>
        <v>+5m 24s SF</v>
      </c>
      <c r="M52" s="12" t="str">
        <f>VLOOKUP(L$37+$A17-1,Data!$C:$E,3)</f>
        <v>-23° 12' 20.2"</v>
      </c>
      <c r="N52" s="7">
        <v>14</v>
      </c>
    </row>
    <row r="53" spans="1:14" x14ac:dyDescent="0.3">
      <c r="A53" s="13">
        <v>15</v>
      </c>
      <c r="B53" s="9" t="str">
        <f>VLOOKUP(B$37+$A18-1,Data!$C:$E,2)</f>
        <v>-6m 1s SS</v>
      </c>
      <c r="C53" s="9" t="str">
        <f>VLOOKUP(B$37+$A18-1,Data!$C:$E,3)</f>
        <v>+21° 31' 31.0"</v>
      </c>
      <c r="D53" s="10" t="str">
        <f>VLOOKUP(D$37+$A18-1,Data!$C:$E,2)</f>
        <v>-4m 30s SS</v>
      </c>
      <c r="E53" s="10" t="str">
        <f>VLOOKUP(D$37+$A18-1,Data!$C:$E,3)</f>
        <v>+14° 03' 34.6"</v>
      </c>
      <c r="F53" s="9" t="str">
        <f>VLOOKUP(F$37+$A18-1,Data!$C:$E,2)</f>
        <v>+4m 47s SF</v>
      </c>
      <c r="G53" s="9" t="str">
        <f>VLOOKUP(F$37+$A18-1,Data!$C:$E,3)</f>
        <v>+03° 02' 40.9"</v>
      </c>
      <c r="H53" s="10" t="str">
        <f>VLOOKUP(H$37+$A18-1,Data!$C:$E,2)</f>
        <v>+14m 13s SF</v>
      </c>
      <c r="I53" s="10" t="str">
        <f>VLOOKUP(H$37+$A18-1,Data!$C:$E,3)</f>
        <v>-08° 29' 34.1"</v>
      </c>
      <c r="J53" s="9" t="str">
        <f>VLOOKUP(J$37+$A18-1,Data!$C:$E,2)</f>
        <v>+15m 26s SF</v>
      </c>
      <c r="K53" s="9" t="str">
        <f>VLOOKUP(J$37+$A18-1,Data!$C:$E,3)</f>
        <v>-18° 27' 51.8"</v>
      </c>
      <c r="L53" s="10" t="str">
        <f>VLOOKUP(L$37+$A18-1,Data!$C:$E,2)</f>
        <v>+4m 55s SF</v>
      </c>
      <c r="M53" s="10" t="str">
        <f>VLOOKUP(L$37+$A18-1,Data!$C:$E,3)</f>
        <v>-23° 15' 43.0"</v>
      </c>
      <c r="N53" s="13">
        <v>15</v>
      </c>
    </row>
    <row r="54" spans="1:14" x14ac:dyDescent="0.3">
      <c r="A54" s="7">
        <v>16</v>
      </c>
      <c r="B54" s="11" t="str">
        <f>VLOOKUP(B$37+$A19-1,Data!$C:$E,2)</f>
        <v>-6m 7s SS</v>
      </c>
      <c r="C54" s="11" t="str">
        <f>VLOOKUP(B$37+$A19-1,Data!$C:$E,3)</f>
        <v>+21° 21' 53.7"</v>
      </c>
      <c r="D54" s="12" t="str">
        <f>VLOOKUP(D$37+$A19-1,Data!$C:$E,2)</f>
        <v>-4m 18s SS</v>
      </c>
      <c r="E54" s="12" t="str">
        <f>VLOOKUP(D$37+$A19-1,Data!$C:$E,3)</f>
        <v>+13° 44' 45.8"</v>
      </c>
      <c r="F54" s="11" t="str">
        <f>VLOOKUP(F$37+$A19-1,Data!$C:$E,2)</f>
        <v>+5m 8s SF</v>
      </c>
      <c r="G54" s="11" t="str">
        <f>VLOOKUP(F$37+$A19-1,Data!$C:$E,3)</f>
        <v>+02° 39' 35.3"</v>
      </c>
      <c r="H54" s="12" t="str">
        <f>VLOOKUP(H$37+$A19-1,Data!$C:$E,2)</f>
        <v>+14m 27s SF</v>
      </c>
      <c r="I54" s="12" t="str">
        <f>VLOOKUP(H$37+$A19-1,Data!$C:$E,3)</f>
        <v>-08° 51' 42.1"</v>
      </c>
      <c r="J54" s="11" t="str">
        <f>VLOOKUP(J$37+$A19-1,Data!$C:$E,2)</f>
        <v>+15m 16s SF</v>
      </c>
      <c r="K54" s="11" t="str">
        <f>VLOOKUP(J$37+$A19-1,Data!$C:$E,3)</f>
        <v>-18° 43' 01.8"</v>
      </c>
      <c r="L54" s="12" t="str">
        <f>VLOOKUP(L$37+$A19-1,Data!$C:$E,2)</f>
        <v>+4m 26s SF</v>
      </c>
      <c r="M54" s="12" t="str">
        <f>VLOOKUP(L$37+$A19-1,Data!$C:$E,3)</f>
        <v>-23° 18' 37.9"</v>
      </c>
      <c r="N54" s="7">
        <v>16</v>
      </c>
    </row>
    <row r="55" spans="1:14" x14ac:dyDescent="0.3">
      <c r="A55" s="7">
        <v>17</v>
      </c>
      <c r="B55" s="11" t="str">
        <f>VLOOKUP(B$37+$A20-1,Data!$C:$E,2)</f>
        <v>-6m 12s SS</v>
      </c>
      <c r="C55" s="11" t="str">
        <f>VLOOKUP(B$37+$A20-1,Data!$C:$E,3)</f>
        <v>+21° 11' 54.7"</v>
      </c>
      <c r="D55" s="12" t="str">
        <f>VLOOKUP(D$37+$A20-1,Data!$C:$E,2)</f>
        <v>-4m 5s SS</v>
      </c>
      <c r="E55" s="12" t="str">
        <f>VLOOKUP(D$37+$A20-1,Data!$C:$E,3)</f>
        <v>+13° 25' 43.9"</v>
      </c>
      <c r="F55" s="11" t="str">
        <f>VLOOKUP(F$37+$A20-1,Data!$C:$E,2)</f>
        <v>+5m 30s SF</v>
      </c>
      <c r="G55" s="11" t="str">
        <f>VLOOKUP(F$37+$A20-1,Data!$C:$E,3)</f>
        <v>+02° 16' 26.5"</v>
      </c>
      <c r="H55" s="12" t="str">
        <f>VLOOKUP(H$37+$A20-1,Data!$C:$E,2)</f>
        <v>+14m 39s SF</v>
      </c>
      <c r="I55" s="12" t="str">
        <f>VLOOKUP(H$37+$A20-1,Data!$C:$E,3)</f>
        <v>-09° 13' 42.8"</v>
      </c>
      <c r="J55" s="11" t="str">
        <f>VLOOKUP(J$37+$A20-1,Data!$C:$E,2)</f>
        <v>+15m 4s SF</v>
      </c>
      <c r="K55" s="11" t="str">
        <f>VLOOKUP(J$37+$A20-1,Data!$C:$E,3)</f>
        <v>-18° 57' 52.1"</v>
      </c>
      <c r="L55" s="12" t="str">
        <f>VLOOKUP(L$37+$A20-1,Data!$C:$E,2)</f>
        <v>+3m 57s SF</v>
      </c>
      <c r="M55" s="12" t="str">
        <f>VLOOKUP(L$37+$A20-1,Data!$C:$E,3)</f>
        <v>-23° 21' 05.0"</v>
      </c>
      <c r="N55" s="7">
        <v>17</v>
      </c>
    </row>
    <row r="56" spans="1:14" x14ac:dyDescent="0.3">
      <c r="A56" s="7">
        <v>18</v>
      </c>
      <c r="B56" s="11" t="str">
        <f>VLOOKUP(B$37+$A21-1,Data!$C:$E,2)</f>
        <v>-6m 17s SS</v>
      </c>
      <c r="C56" s="11" t="str">
        <f>VLOOKUP(B$37+$A21-1,Data!$C:$E,3)</f>
        <v>+21° 01' 34.1"</v>
      </c>
      <c r="D56" s="12" t="str">
        <f>VLOOKUP(D$37+$A21-1,Data!$C:$E,2)</f>
        <v>-3m 52s SS</v>
      </c>
      <c r="E56" s="12" t="str">
        <f>VLOOKUP(D$37+$A21-1,Data!$C:$E,3)</f>
        <v>+13° 06' 29.0"</v>
      </c>
      <c r="F56" s="11" t="str">
        <f>VLOOKUP(F$37+$A21-1,Data!$C:$E,2)</f>
        <v>+5m 51s SF</v>
      </c>
      <c r="G56" s="11" t="str">
        <f>VLOOKUP(F$37+$A21-1,Data!$C:$E,3)</f>
        <v>+01° 53' 14.8"</v>
      </c>
      <c r="H56" s="12" t="str">
        <f>VLOOKUP(H$37+$A21-1,Data!$C:$E,2)</f>
        <v>+14m 51s SF</v>
      </c>
      <c r="I56" s="12" t="str">
        <f>VLOOKUP(H$37+$A21-1,Data!$C:$E,3)</f>
        <v>-09° 35' 35.6"</v>
      </c>
      <c r="J56" s="11" t="str">
        <f>VLOOKUP(J$37+$A21-1,Data!$C:$E,2)</f>
        <v>+14m 52s SF</v>
      </c>
      <c r="K56" s="11" t="str">
        <f>VLOOKUP(J$37+$A21-1,Data!$C:$E,3)</f>
        <v>-19° 12' 22.2"</v>
      </c>
      <c r="L56" s="12" t="str">
        <f>VLOOKUP(L$37+$A21-1,Data!$C:$E,2)</f>
        <v>+3m 28s SF</v>
      </c>
      <c r="M56" s="12" t="str">
        <f>VLOOKUP(L$37+$A21-1,Data!$C:$E,3)</f>
        <v>-23° 23' 04.1"</v>
      </c>
      <c r="N56" s="7">
        <v>18</v>
      </c>
    </row>
    <row r="57" spans="1:14" x14ac:dyDescent="0.3">
      <c r="A57" s="7">
        <v>19</v>
      </c>
      <c r="B57" s="11" t="str">
        <f>VLOOKUP(B$37+$A22-1,Data!$C:$E,2)</f>
        <v>-6m 21s SS</v>
      </c>
      <c r="C57" s="11" t="str">
        <f>VLOOKUP(B$37+$A22-1,Data!$C:$E,3)</f>
        <v>+20° 50' 52.3"</v>
      </c>
      <c r="D57" s="12" t="str">
        <f>VLOOKUP(D$37+$A22-1,Data!$C:$E,2)</f>
        <v>-3m 38s SS</v>
      </c>
      <c r="E57" s="12" t="str">
        <f>VLOOKUP(D$37+$A22-1,Data!$C:$E,3)</f>
        <v>+12° 47' 01.7"</v>
      </c>
      <c r="F57" s="11" t="str">
        <f>VLOOKUP(F$37+$A22-1,Data!$C:$E,2)</f>
        <v>+6m 13s SF</v>
      </c>
      <c r="G57" s="11" t="str">
        <f>VLOOKUP(F$37+$A22-1,Data!$C:$E,3)</f>
        <v>+01° 30' 00.6"</v>
      </c>
      <c r="H57" s="12" t="str">
        <f>VLOOKUP(H$37+$A22-1,Data!$C:$E,2)</f>
        <v>+15m 2s SF</v>
      </c>
      <c r="I57" s="12" t="str">
        <f>VLOOKUP(H$37+$A22-1,Data!$C:$E,3)</f>
        <v>-09° 57' 20.3"</v>
      </c>
      <c r="J57" s="11" t="str">
        <f>VLOOKUP(J$37+$A22-1,Data!$C:$E,2)</f>
        <v>+14m 39s SF</v>
      </c>
      <c r="K57" s="11" t="str">
        <f>VLOOKUP(J$37+$A22-1,Data!$C:$E,3)</f>
        <v>-19° 26' 31.7"</v>
      </c>
      <c r="L57" s="12" t="str">
        <f>VLOOKUP(L$37+$A22-1,Data!$C:$E,2)</f>
        <v>+2m 58s SF</v>
      </c>
      <c r="M57" s="12" t="str">
        <f>VLOOKUP(L$37+$A22-1,Data!$C:$E,3)</f>
        <v>-23° 24' 35.0"</v>
      </c>
      <c r="N57" s="7">
        <v>19</v>
      </c>
    </row>
    <row r="58" spans="1:14" x14ac:dyDescent="0.3">
      <c r="A58" s="13">
        <v>20</v>
      </c>
      <c r="B58" s="9" t="str">
        <f>VLOOKUP(B$37+$A23-1,Data!$C:$E,2)</f>
        <v>-6m 24s SS</v>
      </c>
      <c r="C58" s="9" t="str">
        <f>VLOOKUP(B$37+$A23-1,Data!$C:$E,3)</f>
        <v>+20° 39' 49.2"</v>
      </c>
      <c r="D58" s="10" t="str">
        <f>VLOOKUP(D$37+$A23-1,Data!$C:$E,2)</f>
        <v>-3m 24s SS</v>
      </c>
      <c r="E58" s="10" t="str">
        <f>VLOOKUP(D$37+$A23-1,Data!$C:$E,3)</f>
        <v>+12° 27' 22.1"</v>
      </c>
      <c r="F58" s="9" t="str">
        <f>VLOOKUP(F$37+$A23-1,Data!$C:$E,2)</f>
        <v>+6m 34s SF</v>
      </c>
      <c r="G58" s="9" t="str">
        <f>VLOOKUP(F$37+$A23-1,Data!$C:$E,3)</f>
        <v>+01° 06' 44.1"</v>
      </c>
      <c r="H58" s="10" t="str">
        <f>VLOOKUP(H$37+$A23-1,Data!$C:$E,2)</f>
        <v>+15m 13s SF</v>
      </c>
      <c r="I58" s="10" t="str">
        <f>VLOOKUP(H$37+$A23-1,Data!$C:$E,3)</f>
        <v>-10° 18' 56.4"</v>
      </c>
      <c r="J58" s="9" t="str">
        <f>VLOOKUP(J$37+$A23-1,Data!$C:$E,2)</f>
        <v>+14m 25s SF</v>
      </c>
      <c r="K58" s="9" t="str">
        <f>VLOOKUP(J$37+$A23-1,Data!$C:$E,3)</f>
        <v>-19° 40' 20.3"</v>
      </c>
      <c r="L58" s="10" t="str">
        <f>VLOOKUP(L$37+$A23-1,Data!$C:$E,2)</f>
        <v>+2m 28s SF</v>
      </c>
      <c r="M58" s="10" t="str">
        <f>VLOOKUP(L$37+$A23-1,Data!$C:$E,3)</f>
        <v>-23° 25' 37.8"</v>
      </c>
      <c r="N58" s="13">
        <v>20</v>
      </c>
    </row>
    <row r="59" spans="1:14" x14ac:dyDescent="0.3">
      <c r="A59" s="7">
        <v>21</v>
      </c>
      <c r="B59" s="11" t="str">
        <f>VLOOKUP(B$37+$A24-1,Data!$C:$E,2)</f>
        <v>-6m 27s SS</v>
      </c>
      <c r="C59" s="11" t="str">
        <f>VLOOKUP(B$37+$A24-1,Data!$C:$E,3)</f>
        <v>+20° 28' 25.3"</v>
      </c>
      <c r="D59" s="12" t="str">
        <f>VLOOKUP(D$37+$A24-1,Data!$C:$E,2)</f>
        <v>-3m 10s SS</v>
      </c>
      <c r="E59" s="12" t="str">
        <f>VLOOKUP(D$37+$A24-1,Data!$C:$E,3)</f>
        <v>+12° 07' 30.7"</v>
      </c>
      <c r="F59" s="11" t="str">
        <f>VLOOKUP(F$37+$A24-1,Data!$C:$E,2)</f>
        <v>+6m 55s SF</v>
      </c>
      <c r="G59" s="11" t="str">
        <f>VLOOKUP(F$37+$A24-1,Data!$C:$E,3)</f>
        <v>+00° 43' 25.8"</v>
      </c>
      <c r="H59" s="12" t="str">
        <f>VLOOKUP(H$37+$A24-1,Data!$C:$E,2)</f>
        <v>+15m 23s SF</v>
      </c>
      <c r="I59" s="12" t="str">
        <f>VLOOKUP(H$37+$A24-1,Data!$C:$E,3)</f>
        <v>-10° 40' 23.5"</v>
      </c>
      <c r="J59" s="11" t="str">
        <f>VLOOKUP(J$37+$A24-1,Data!$C:$E,2)</f>
        <v>+14m 10s SF</v>
      </c>
      <c r="K59" s="11" t="str">
        <f>VLOOKUP(J$37+$A24-1,Data!$C:$E,3)</f>
        <v>-19° 53' 47.6"</v>
      </c>
      <c r="L59" s="12" t="str">
        <f>VLOOKUP(L$37+$A24-1,Data!$C:$E,2)</f>
        <v>+1m 58s SF</v>
      </c>
      <c r="M59" s="12" t="str">
        <f>VLOOKUP(L$37+$A24-1,Data!$C:$E,3)</f>
        <v>-23° 26' 12.3"</v>
      </c>
      <c r="N59" s="7">
        <v>21</v>
      </c>
    </row>
    <row r="60" spans="1:14" x14ac:dyDescent="0.3">
      <c r="A60" s="7">
        <v>22</v>
      </c>
      <c r="B60" s="11" t="str">
        <f>VLOOKUP(B$37+$A25-1,Data!$C:$E,2)</f>
        <v>-6m 30s SS</v>
      </c>
      <c r="C60" s="11" t="str">
        <f>VLOOKUP(B$37+$A25-1,Data!$C:$E,3)</f>
        <v>+20° 16' 40.8"</v>
      </c>
      <c r="D60" s="12" t="str">
        <f>VLOOKUP(D$37+$A25-1,Data!$C:$E,2)</f>
        <v>-2m 55s SS</v>
      </c>
      <c r="E60" s="12" t="str">
        <f>VLOOKUP(D$37+$A25-1,Data!$C:$E,3)</f>
        <v>+11° 47' 27.6"</v>
      </c>
      <c r="F60" s="11" t="str">
        <f>VLOOKUP(F$37+$A25-1,Data!$C:$E,2)</f>
        <v>+7m 16s SF</v>
      </c>
      <c r="G60" s="11" t="str">
        <f>VLOOKUP(F$37+$A25-1,Data!$C:$E,3)</f>
        <v>+00° 20' 06.0"</v>
      </c>
      <c r="H60" s="12" t="str">
        <f>VLOOKUP(H$37+$A25-1,Data!$C:$E,2)</f>
        <v>+15m 32s SF</v>
      </c>
      <c r="I60" s="12" t="str">
        <f>VLOOKUP(H$37+$A25-1,Data!$C:$E,3)</f>
        <v>-11° 01' 41.2"</v>
      </c>
      <c r="J60" s="11" t="str">
        <f>VLOOKUP(J$37+$A25-1,Data!$C:$E,2)</f>
        <v>+13m 54s SF</v>
      </c>
      <c r="K60" s="11" t="str">
        <f>VLOOKUP(J$37+$A25-1,Data!$C:$E,3)</f>
        <v>-20° 06' 53.2"</v>
      </c>
      <c r="L60" s="12" t="str">
        <f>VLOOKUP(L$37+$A25-1,Data!$C:$E,2)</f>
        <v>+1m 28s SF</v>
      </c>
      <c r="M60" s="12" t="str">
        <f>VLOOKUP(L$37+$A25-1,Data!$C:$E,3)</f>
        <v>-23° 26' 18.6"</v>
      </c>
      <c r="N60" s="7">
        <v>22</v>
      </c>
    </row>
    <row r="61" spans="1:14" x14ac:dyDescent="0.3">
      <c r="A61" s="7">
        <v>23</v>
      </c>
      <c r="B61" s="11" t="str">
        <f>VLOOKUP(B$37+$A26-1,Data!$C:$E,2)</f>
        <v>-6m 32s SS</v>
      </c>
      <c r="C61" s="11" t="str">
        <f>VLOOKUP(B$37+$A26-1,Data!$C:$E,3)</f>
        <v>+20° 04' 35.8"</v>
      </c>
      <c r="D61" s="12" t="str">
        <f>VLOOKUP(D$37+$A26-1,Data!$C:$E,2)</f>
        <v>-2m 39s SS</v>
      </c>
      <c r="E61" s="12" t="str">
        <f>VLOOKUP(D$37+$A26-1,Data!$C:$E,3)</f>
        <v>+11° 27' 13.3"</v>
      </c>
      <c r="F61" s="11" t="str">
        <f>VLOOKUP(F$37+$A26-1,Data!$C:$E,2)</f>
        <v>+7m 38s SF</v>
      </c>
      <c r="G61" s="11" t="str">
        <f>VLOOKUP(F$37+$A26-1,Data!$C:$E,3)</f>
        <v>-00° 03' 15.0"</v>
      </c>
      <c r="H61" s="12" t="str">
        <f>VLOOKUP(H$37+$A26-1,Data!$C:$E,2)</f>
        <v>+15m 40s SF</v>
      </c>
      <c r="I61" s="12" t="str">
        <f>VLOOKUP(H$37+$A26-1,Data!$C:$E,3)</f>
        <v>-11° 22' 49.1"</v>
      </c>
      <c r="J61" s="11" t="str">
        <f>VLOOKUP(J$37+$A26-1,Data!$C:$E,2)</f>
        <v>+13m 38s SF</v>
      </c>
      <c r="K61" s="11" t="str">
        <f>VLOOKUP(J$37+$A26-1,Data!$C:$E,3)</f>
        <v>-20° 19' 36.6"</v>
      </c>
      <c r="L61" s="12" t="str">
        <f>VLOOKUP(L$37+$A26-1,Data!$C:$E,2)</f>
        <v>+0m 58s SF</v>
      </c>
      <c r="M61" s="12" t="str">
        <f>VLOOKUP(L$37+$A26-1,Data!$C:$E,3)</f>
        <v>-23° 25' 56.5"</v>
      </c>
      <c r="N61" s="7">
        <v>23</v>
      </c>
    </row>
    <row r="62" spans="1:14" x14ac:dyDescent="0.3">
      <c r="A62" s="7">
        <v>24</v>
      </c>
      <c r="B62" s="11" t="str">
        <f>VLOOKUP(B$37+$A27-1,Data!$C:$E,2)</f>
        <v>-6m 33s SS</v>
      </c>
      <c r="C62" s="11" t="str">
        <f>VLOOKUP(B$37+$A27-1,Data!$C:$E,3)</f>
        <v>+19° 52' 10.7"</v>
      </c>
      <c r="D62" s="12" t="str">
        <f>VLOOKUP(D$37+$A27-1,Data!$C:$E,2)</f>
        <v>-2m 23s SS</v>
      </c>
      <c r="E62" s="12" t="str">
        <f>VLOOKUP(D$37+$A27-1,Data!$C:$E,3)</f>
        <v>+11° 06' 48.0"</v>
      </c>
      <c r="F62" s="11" t="str">
        <f>VLOOKUP(F$37+$A27-1,Data!$C:$E,2)</f>
        <v>+7m 58s SF</v>
      </c>
      <c r="G62" s="11" t="str">
        <f>VLOOKUP(F$37+$A27-1,Data!$C:$E,3)</f>
        <v>-00° 26' 36.8"</v>
      </c>
      <c r="H62" s="12" t="str">
        <f>VLOOKUP(H$37+$A27-1,Data!$C:$E,2)</f>
        <v>+15m 48s SF</v>
      </c>
      <c r="I62" s="12" t="str">
        <f>VLOOKUP(H$37+$A27-1,Data!$C:$E,3)</f>
        <v>-11° 43' 46.8"</v>
      </c>
      <c r="J62" s="11" t="str">
        <f>VLOOKUP(J$37+$A27-1,Data!$C:$E,2)</f>
        <v>+13m 21s SF</v>
      </c>
      <c r="K62" s="11" t="str">
        <f>VLOOKUP(J$37+$A27-1,Data!$C:$E,3)</f>
        <v>-20° 31' 57.6"</v>
      </c>
      <c r="L62" s="12" t="str">
        <f>VLOOKUP(L$37+$A27-1,Data!$C:$E,2)</f>
        <v>+0m 28s SF</v>
      </c>
      <c r="M62" s="12" t="str">
        <f>VLOOKUP(L$37+$A27-1,Data!$C:$E,3)</f>
        <v>-23° 25' 06.1"</v>
      </c>
      <c r="N62" s="7">
        <v>24</v>
      </c>
    </row>
    <row r="63" spans="1:14" x14ac:dyDescent="0.3">
      <c r="A63" s="13">
        <v>25</v>
      </c>
      <c r="B63" s="9" t="str">
        <f>VLOOKUP(B$37+$A28-1,Data!$C:$E,2)</f>
        <v>-6m 34s SS</v>
      </c>
      <c r="C63" s="9" t="str">
        <f>VLOOKUP(B$37+$A28-1,Data!$C:$E,3)</f>
        <v>+19° 39' 25.6"</v>
      </c>
      <c r="D63" s="10" t="str">
        <f>VLOOKUP(D$37+$A28-1,Data!$C:$E,2)</f>
        <v>-2m 7s SS</v>
      </c>
      <c r="E63" s="10" t="str">
        <f>VLOOKUP(D$37+$A28-1,Data!$C:$E,3)</f>
        <v>+10° 46' 12.0"</v>
      </c>
      <c r="F63" s="9" t="str">
        <f>VLOOKUP(F$37+$A28-1,Data!$C:$E,2)</f>
        <v>+8m 19s SF</v>
      </c>
      <c r="G63" s="9" t="str">
        <f>VLOOKUP(F$37+$A28-1,Data!$C:$E,3)</f>
        <v>-00° 49' 59.0"</v>
      </c>
      <c r="H63" s="10" t="str">
        <f>VLOOKUP(H$37+$A28-1,Data!$C:$E,2)</f>
        <v>+15m 55s SF</v>
      </c>
      <c r="I63" s="10" t="str">
        <f>VLOOKUP(H$37+$A28-1,Data!$C:$E,3)</f>
        <v>-12° 04' 33.9"</v>
      </c>
      <c r="J63" s="9" t="str">
        <f>VLOOKUP(J$37+$A28-1,Data!$C:$E,2)</f>
        <v>+13m 3s SF</v>
      </c>
      <c r="K63" s="9" t="str">
        <f>VLOOKUP(J$37+$A28-1,Data!$C:$E,3)</f>
        <v>-20° 43' 55.8"</v>
      </c>
      <c r="L63" s="10" t="str">
        <f>VLOOKUP(L$37+$A28-1,Data!$C:$E,2)</f>
        <v>-0m 1s SS</v>
      </c>
      <c r="M63" s="10" t="str">
        <f>VLOOKUP(L$37+$A28-1,Data!$C:$E,3)</f>
        <v>-23° 23' 47.4"</v>
      </c>
      <c r="N63" s="13">
        <v>25</v>
      </c>
    </row>
    <row r="64" spans="1:14" x14ac:dyDescent="0.3">
      <c r="A64" s="7">
        <v>26</v>
      </c>
      <c r="B64" s="11" t="str">
        <f>VLOOKUP(B$37+$A29-1,Data!$C:$E,2)</f>
        <v>-6m 34s SS</v>
      </c>
      <c r="C64" s="11" t="str">
        <f>VLOOKUP(B$37+$A29-1,Data!$C:$E,3)</f>
        <v>+19° 26' 21.0"</v>
      </c>
      <c r="D64" s="12" t="str">
        <f>VLOOKUP(D$37+$A29-1,Data!$C:$E,2)</f>
        <v>-1m 50s SS</v>
      </c>
      <c r="E64" s="12" t="str">
        <f>VLOOKUP(D$37+$A29-1,Data!$C:$E,3)</f>
        <v>+10° 25' 25.8"</v>
      </c>
      <c r="F64" s="11" t="str">
        <f>VLOOKUP(F$37+$A29-1,Data!$C:$E,2)</f>
        <v>+8m 40s SF</v>
      </c>
      <c r="G64" s="11" t="str">
        <f>VLOOKUP(F$37+$A29-1,Data!$C:$E,3)</f>
        <v>-01° 13' 21.4"</v>
      </c>
      <c r="H64" s="12" t="str">
        <f>VLOOKUP(H$37+$A29-1,Data!$C:$E,2)</f>
        <v>+16m 2s SF</v>
      </c>
      <c r="I64" s="12" t="str">
        <f>VLOOKUP(H$37+$A29-1,Data!$C:$E,3)</f>
        <v>-12° 25' 09.9"</v>
      </c>
      <c r="J64" s="11" t="str">
        <f>VLOOKUP(J$37+$A29-1,Data!$C:$E,2)</f>
        <v>+12m 44s SF</v>
      </c>
      <c r="K64" s="11" t="str">
        <f>VLOOKUP(J$37+$A29-1,Data!$C:$E,3)</f>
        <v>-20° 55' 30.7"</v>
      </c>
      <c r="L64" s="12" t="str">
        <f>VLOOKUP(L$37+$A29-1,Data!$C:$E,2)</f>
        <v>-0m 31s SS</v>
      </c>
      <c r="M64" s="12" t="str">
        <f>VLOOKUP(L$37+$A29-1,Data!$C:$E,3)</f>
        <v>-23° 22' 00.5"</v>
      </c>
      <c r="N64" s="7">
        <v>26</v>
      </c>
    </row>
    <row r="65" spans="1:14" x14ac:dyDescent="0.3">
      <c r="A65" s="7">
        <v>27</v>
      </c>
      <c r="B65" s="11" t="str">
        <f>VLOOKUP(B$37+$A30-1,Data!$C:$E,2)</f>
        <v>-6m 34s SS</v>
      </c>
      <c r="C65" s="11" t="str">
        <f>VLOOKUP(B$37+$A30-1,Data!$C:$E,3)</f>
        <v>+19° 12' 56.9"</v>
      </c>
      <c r="D65" s="12" t="str">
        <f>VLOOKUP(D$37+$A30-1,Data!$C:$E,2)</f>
        <v>-1m 33s SS</v>
      </c>
      <c r="E65" s="12" t="str">
        <f>VLOOKUP(D$37+$A30-1,Data!$C:$E,3)</f>
        <v>+10° 04' 29.7"</v>
      </c>
      <c r="F65" s="11" t="str">
        <f>VLOOKUP(F$37+$A30-1,Data!$C:$E,2)</f>
        <v>+9m 0s SF</v>
      </c>
      <c r="G65" s="11" t="str">
        <f>VLOOKUP(F$37+$A30-1,Data!$C:$E,3)</f>
        <v>-01° 36' 43.4"</v>
      </c>
      <c r="H65" s="12" t="str">
        <f>VLOOKUP(H$37+$A30-1,Data!$C:$E,2)</f>
        <v>+16m 8s SF</v>
      </c>
      <c r="I65" s="12" t="str">
        <f>VLOOKUP(H$37+$A30-1,Data!$C:$E,3)</f>
        <v>-12° 45' 34.4"</v>
      </c>
      <c r="J65" s="11" t="str">
        <f>VLOOKUP(J$37+$A30-1,Data!$C:$E,2)</f>
        <v>+12m 25s SF</v>
      </c>
      <c r="K65" s="11" t="str">
        <f>VLOOKUP(J$37+$A30-1,Data!$C:$E,3)</f>
        <v>-21° 06' 42.1"</v>
      </c>
      <c r="L65" s="12" t="str">
        <f>VLOOKUP(L$37+$A30-1,Data!$C:$E,2)</f>
        <v>-1m 1s SS</v>
      </c>
      <c r="M65" s="12" t="str">
        <f>VLOOKUP(L$37+$A30-1,Data!$C:$E,3)</f>
        <v>-23° 19' 45.3"</v>
      </c>
      <c r="N65" s="7">
        <v>27</v>
      </c>
    </row>
    <row r="66" spans="1:14" x14ac:dyDescent="0.3">
      <c r="A66" s="7">
        <v>28</v>
      </c>
      <c r="B66" s="11" t="str">
        <f>VLOOKUP(B$37+$A31-1,Data!$C:$E,2)</f>
        <v>-6m 33s SS</v>
      </c>
      <c r="C66" s="11" t="str">
        <f>VLOOKUP(B$37+$A31-1,Data!$C:$E,3)</f>
        <v>+18° 59' 13.8"</v>
      </c>
      <c r="D66" s="12" t="str">
        <f>VLOOKUP(D$37+$A31-1,Data!$C:$E,2)</f>
        <v>-1m 15s SS</v>
      </c>
      <c r="E66" s="12" t="str">
        <f>VLOOKUP(D$37+$A31-1,Data!$C:$E,3)</f>
        <v>+09° 43' 23.9"</v>
      </c>
      <c r="F66" s="11" t="str">
        <f>VLOOKUP(F$37+$A31-1,Data!$C:$E,2)</f>
        <v>+9m 20s SF</v>
      </c>
      <c r="G66" s="11" t="str">
        <f>VLOOKUP(F$37+$A31-1,Data!$C:$E,3)</f>
        <v>-02° 00' 04.8"</v>
      </c>
      <c r="H66" s="12" t="str">
        <f>VLOOKUP(H$37+$A31-1,Data!$C:$E,2)</f>
        <v>+16m 13s SF</v>
      </c>
      <c r="I66" s="12" t="str">
        <f>VLOOKUP(H$37+$A31-1,Data!$C:$E,3)</f>
        <v>-13° 05' 47.0"</v>
      </c>
      <c r="J66" s="11" t="str">
        <f>VLOOKUP(J$37+$A31-1,Data!$C:$E,2)</f>
        <v>+12m 4s SF</v>
      </c>
      <c r="K66" s="11" t="str">
        <f>VLOOKUP(J$37+$A31-1,Data!$C:$E,3)</f>
        <v>-21° 17' 29.6"</v>
      </c>
      <c r="L66" s="12" t="str">
        <f>VLOOKUP(L$37+$A31-1,Data!$C:$E,2)</f>
        <v>-1m 30s SS</v>
      </c>
      <c r="M66" s="12" t="str">
        <f>VLOOKUP(L$37+$A31-1,Data!$C:$E,3)</f>
        <v>-23° 17' 02.0"</v>
      </c>
      <c r="N66" s="7">
        <v>28</v>
      </c>
    </row>
    <row r="67" spans="1:14" x14ac:dyDescent="0.3">
      <c r="A67" s="7">
        <v>29</v>
      </c>
      <c r="B67" s="11" t="str">
        <f>VLOOKUP(B$37+$A32-1,Data!$C:$E,2)</f>
        <v>-6m 31s SS</v>
      </c>
      <c r="C67" s="11" t="str">
        <f>VLOOKUP(B$37+$A32-1,Data!$C:$E,3)</f>
        <v>+18° 45' 11.9"</v>
      </c>
      <c r="D67" s="12" t="str">
        <f>VLOOKUP(D$37+$A32-1,Data!$C:$E,2)</f>
        <v>-0m 57s SS</v>
      </c>
      <c r="E67" s="12" t="str">
        <f>VLOOKUP(D$37+$A32-1,Data!$C:$E,3)</f>
        <v>+09° 22' 08.9"</v>
      </c>
      <c r="F67" s="11" t="str">
        <f>VLOOKUP(F$37+$A32-1,Data!$C:$E,2)</f>
        <v>+9m 40s SF</v>
      </c>
      <c r="G67" s="11" t="str">
        <f>VLOOKUP(F$37+$A32-1,Data!$C:$E,3)</f>
        <v>-02° 23' 25.2"</v>
      </c>
      <c r="H67" s="12" t="str">
        <f>VLOOKUP(H$37+$A32-1,Data!$C:$E,2)</f>
        <v>+16m 17s SF</v>
      </c>
      <c r="I67" s="12" t="str">
        <f>VLOOKUP(H$37+$A32-1,Data!$C:$E,3)</f>
        <v>-13° 25' 47.2"</v>
      </c>
      <c r="J67" s="11" t="str">
        <f>VLOOKUP(J$37+$A32-1,Data!$C:$E,2)</f>
        <v>+11m 44s SF</v>
      </c>
      <c r="K67" s="11" t="str">
        <f>VLOOKUP(J$37+$A32-1,Data!$C:$E,3)</f>
        <v>-21° 27' 52.8"</v>
      </c>
      <c r="L67" s="12" t="str">
        <f>VLOOKUP(L$37+$A32-1,Data!$C:$E,2)</f>
        <v>-2m 0s SS</v>
      </c>
      <c r="M67" s="12" t="str">
        <f>VLOOKUP(L$37+$A32-1,Data!$C:$E,3)</f>
        <v>-23° 13' 50.7"</v>
      </c>
      <c r="N67" s="7">
        <v>29</v>
      </c>
    </row>
    <row r="68" spans="1:14" x14ac:dyDescent="0.3">
      <c r="A68" s="13">
        <v>30</v>
      </c>
      <c r="B68" s="9" t="str">
        <f>VLOOKUP(B$37+$A33-1,Data!$C:$E,2)</f>
        <v>-6m 29s SS</v>
      </c>
      <c r="C68" s="9" t="str">
        <f>VLOOKUP(B$37+$A33-1,Data!$C:$E,3)</f>
        <v>+18° 30' 51.4"</v>
      </c>
      <c r="D68" s="10" t="str">
        <f>VLOOKUP(D$37+$A33-1,Data!$C:$E,2)</f>
        <v>-0m 39s SS</v>
      </c>
      <c r="E68" s="10" t="str">
        <f>VLOOKUP(D$37+$A33-1,Data!$C:$E,3)</f>
        <v>+09° 00' 45.0"</v>
      </c>
      <c r="F68" s="9" t="str">
        <f>VLOOKUP(F$37+$A33-1,Data!$C:$E,2)</f>
        <v>+10m 0s SF</v>
      </c>
      <c r="G68" s="9" t="str">
        <f>VLOOKUP(F$37+$A33-1,Data!$C:$E,3)</f>
        <v>-02° 46' 44.1"</v>
      </c>
      <c r="H68" s="10" t="str">
        <f>VLOOKUP(H$37+$A33-1,Data!$C:$E,2)</f>
        <v>+16m 20s SF</v>
      </c>
      <c r="I68" s="10" t="str">
        <f>VLOOKUP(H$37+$A33-1,Data!$C:$E,3)</f>
        <v>-13° 45' 34.7"</v>
      </c>
      <c r="J68" s="9" t="str">
        <f>VLOOKUP(J$37+$A33-1,Data!$C:$E,2)</f>
        <v>+11m 22s SF</v>
      </c>
      <c r="K68" s="9" t="str">
        <f>VLOOKUP(J$37+$A33-1,Data!$C:$E,3)</f>
        <v>-21° 37' 51.6"</v>
      </c>
      <c r="L68" s="10" t="str">
        <f>VLOOKUP(L$37+$A33-1,Data!$C:$E,2)</f>
        <v>-2m 29s SS</v>
      </c>
      <c r="M68" s="10" t="str">
        <f>VLOOKUP(L$37+$A33-1,Data!$C:$E,3)</f>
        <v>-23° 10' 11.4"</v>
      </c>
      <c r="N68" s="13">
        <v>30</v>
      </c>
    </row>
    <row r="69" spans="1:14" x14ac:dyDescent="0.3">
      <c r="A69" s="7">
        <v>31</v>
      </c>
      <c r="B69" s="11" t="str">
        <f>VLOOKUP(B$37+$A34-1,Data!$C:$E,2)</f>
        <v>-6m 26s SS</v>
      </c>
      <c r="C69" s="11" t="str">
        <f>VLOOKUP(B$37+$A34-1,Data!$C:$E,3)</f>
        <v>+18° 16' 12.8"</v>
      </c>
      <c r="D69" s="12" t="str">
        <f>VLOOKUP(D$37+$A34-1,Data!$C:$E,2)</f>
        <v>-0m 21s SS</v>
      </c>
      <c r="E69" s="12" t="str">
        <f>VLOOKUP(D$37+$A34-1,Data!$C:$E,3)</f>
        <v>+08° 39' 12.4"</v>
      </c>
      <c r="F69" s="11"/>
      <c r="G69" s="11"/>
      <c r="H69" s="12" t="str">
        <f>VLOOKUP(H$37+$A34-1,Data!$C:$E,2)</f>
        <v>+16m 23s SF</v>
      </c>
      <c r="I69" s="12" t="str">
        <f>VLOOKUP(H$37+$A34-1,Data!$C:$E,3)</f>
        <v>-14° 05' 08.9"</v>
      </c>
      <c r="J69" s="11"/>
      <c r="K69" s="11"/>
      <c r="L69" s="12" t="str">
        <f>VLOOKUP(L$37+$A34-1,Data!$C:$E,2)</f>
        <v>-2m 57s SS</v>
      </c>
      <c r="M69" s="12" t="str">
        <f>VLOOKUP(L$37+$A34-1,Data!$C:$E,3)</f>
        <v>-23° 06' 04.3"</v>
      </c>
      <c r="N69" s="7">
        <v>31</v>
      </c>
    </row>
  </sheetData>
  <mergeCells count="12">
    <mergeCell ref="L37:M37"/>
    <mergeCell ref="B2:C2"/>
    <mergeCell ref="D2:E2"/>
    <mergeCell ref="F2:G2"/>
    <mergeCell ref="H2:I2"/>
    <mergeCell ref="J2:K2"/>
    <mergeCell ref="L2:M2"/>
    <mergeCell ref="B37:C37"/>
    <mergeCell ref="D37:E37"/>
    <mergeCell ref="F37:G37"/>
    <mergeCell ref="H37:I37"/>
    <mergeCell ref="J37:K37"/>
  </mergeCells>
  <pageMargins left="0.70866141732283472" right="0.70866141732283472" top="0.74803149606299213" bottom="0.74803149606299213" header="0.31496062992125984" footer="0.31496062992125984"/>
  <pageSetup paperSize="9" scale="51" fitToHeight="3" orientation="portrait" horizontalDpi="4294967293" verticalDpi="0" r:id="rId1"/>
  <ignoredErrors>
    <ignoredError sqref="C4:C34 C39:M69 L4:L33 K5:K34 I4:I33 G4:G34 E4:E31 K4 D7 D5:D6 D32:F34 F7 D4 M4:N4 F5:F6 D8:D31 F8:F31 F4 H34:J34 H7 H5:H6 H8:H31 H4 H32:H33 J32:J33 J7 J5:J6 J8:J31 J4 L34:N34 M32:N33 M7:N7 M5:N6 M8:N3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31BB-BE1B-46AE-9DD3-F72E5878E2AE}">
  <sheetPr>
    <pageSetUpPr fitToPage="1"/>
  </sheetPr>
  <dimension ref="A1:Z69"/>
  <sheetViews>
    <sheetView zoomScale="110" zoomScaleNormal="110" workbookViewId="0"/>
  </sheetViews>
  <sheetFormatPr defaultRowHeight="14.4" x14ac:dyDescent="0.3"/>
  <cols>
    <col min="1" max="1" width="3.44140625" style="1" customWidth="1"/>
    <col min="2" max="3" width="12.33203125" style="1" customWidth="1"/>
    <col min="4" max="13" width="12.33203125" customWidth="1"/>
    <col min="14" max="14" width="5" customWidth="1"/>
    <col min="15" max="25" width="13.44140625" customWidth="1"/>
    <col min="26" max="26" width="8.88671875" style="1"/>
  </cols>
  <sheetData>
    <row r="1" spans="1:26" s="1" customFormat="1" ht="21" x14ac:dyDescent="0.4">
      <c r="B1" s="4" t="s">
        <v>578</v>
      </c>
    </row>
    <row r="2" spans="1:26" s="8" customFormat="1" ht="12" x14ac:dyDescent="0.25">
      <c r="A2" s="7"/>
      <c r="B2" s="15">
        <v>44927</v>
      </c>
      <c r="C2" s="16"/>
      <c r="D2" s="14">
        <v>44958</v>
      </c>
      <c r="E2" s="14"/>
      <c r="F2" s="15">
        <v>44986</v>
      </c>
      <c r="G2" s="16"/>
      <c r="H2" s="14">
        <v>45017</v>
      </c>
      <c r="I2" s="14"/>
      <c r="J2" s="15">
        <v>45047</v>
      </c>
      <c r="K2" s="16"/>
      <c r="L2" s="14">
        <v>45078</v>
      </c>
      <c r="M2" s="14"/>
      <c r="Z2" s="7"/>
    </row>
    <row r="3" spans="1:26" s="8" customFormat="1" ht="12" x14ac:dyDescent="0.25">
      <c r="A3" s="7"/>
      <c r="B3" s="9" t="s">
        <v>573</v>
      </c>
      <c r="C3" s="9" t="s">
        <v>574</v>
      </c>
      <c r="D3" s="10" t="s">
        <v>573</v>
      </c>
      <c r="E3" s="10" t="s">
        <v>574</v>
      </c>
      <c r="F3" s="9" t="s">
        <v>573</v>
      </c>
      <c r="G3" s="9" t="s">
        <v>574</v>
      </c>
      <c r="H3" s="10" t="s">
        <v>573</v>
      </c>
      <c r="I3" s="10" t="s">
        <v>574</v>
      </c>
      <c r="J3" s="9" t="s">
        <v>573</v>
      </c>
      <c r="K3" s="9" t="s">
        <v>574</v>
      </c>
      <c r="L3" s="10" t="s">
        <v>573</v>
      </c>
      <c r="M3" s="10" t="s">
        <v>574</v>
      </c>
      <c r="Z3" s="7"/>
    </row>
    <row r="4" spans="1:26" s="8" customFormat="1" ht="12" x14ac:dyDescent="0.25">
      <c r="A4" s="7">
        <v>1</v>
      </c>
      <c r="B4" s="11" t="str">
        <f>VLOOKUP(B$2+$A4-1,Data!$C:$E,2)</f>
        <v>-3m 26s SS</v>
      </c>
      <c r="C4" s="11" t="str">
        <f>VLOOKUP(B$2+$A4-1,Data!$C:$E,3)</f>
        <v>-23° 01' 29.4"</v>
      </c>
      <c r="D4" s="12" t="str">
        <f>VLOOKUP(D$2+$A4-1,Data!$C:$E,2)</f>
        <v>-13m 30s SS</v>
      </c>
      <c r="E4" s="12" t="str">
        <f>VLOOKUP(D$2+$A4-1,Data!$C:$E,3)</f>
        <v>-17° 10' 54.0"</v>
      </c>
      <c r="F4" s="11" t="str">
        <f>VLOOKUP(F$2+$A4-1,Data!$C:$E,2)</f>
        <v>-12m 21s SS</v>
      </c>
      <c r="G4" s="11" t="str">
        <f>VLOOKUP(F$2+$A4-1,Data!$C:$E,3)</f>
        <v>-07° 41' 54.5"</v>
      </c>
      <c r="H4" s="12" t="str">
        <f>VLOOKUP(H$2+$A4-1,Data!$C:$E,2)</f>
        <v>-3m 56s SS</v>
      </c>
      <c r="I4" s="12" t="str">
        <f>VLOOKUP(H$2+$A4-1,Data!$C:$E,3)</f>
        <v>+04° 25' 23.5"</v>
      </c>
      <c r="J4" s="11" t="str">
        <f>VLOOKUP(J$2+$A4-1,Data!$C:$E,2)</f>
        <v>+2m 52s SF</v>
      </c>
      <c r="K4" s="11" t="str">
        <f>VLOOKUP(J$2+$A4-1,Data!$C:$E,3)</f>
        <v>+14° 58' 57.8"</v>
      </c>
      <c r="L4" s="12" t="str">
        <f>VLOOKUP(L$2+$A4-1,Data!$C:$E,2)</f>
        <v>+2m 10s SF</v>
      </c>
      <c r="M4" s="12" t="str">
        <f>VLOOKUP(L$2+$A4-1,Data!$C:$E,3)</f>
        <v>+22° 00' 32.3"</v>
      </c>
      <c r="N4" s="7">
        <v>1</v>
      </c>
      <c r="Z4" s="7"/>
    </row>
    <row r="5" spans="1:26" s="8" customFormat="1" ht="12" x14ac:dyDescent="0.25">
      <c r="A5" s="7">
        <v>2</v>
      </c>
      <c r="B5" s="11" t="str">
        <f>VLOOKUP(B$2+$A5-1,Data!$C:$E,2)</f>
        <v>-3m 54s SS</v>
      </c>
      <c r="C5" s="11" t="str">
        <f>VLOOKUP(B$2+$A5-1,Data!$C:$E,3)</f>
        <v>-22° 56' 27.0"</v>
      </c>
      <c r="D5" s="12" t="str">
        <f>VLOOKUP(D$2+$A5-1,Data!$C:$E,2)</f>
        <v>-13m 38s SS</v>
      </c>
      <c r="E5" s="12" t="str">
        <f>VLOOKUP(D$2+$A5-1,Data!$C:$E,3)</f>
        <v>-16° 53' 46.3"</v>
      </c>
      <c r="F5" s="11" t="str">
        <f>VLOOKUP(F$2+$A5-1,Data!$C:$E,2)</f>
        <v>-12m 9s SS</v>
      </c>
      <c r="G5" s="11" t="str">
        <f>VLOOKUP(F$2+$A5-1,Data!$C:$E,3)</f>
        <v>-07° 19' 05.7"</v>
      </c>
      <c r="H5" s="12" t="str">
        <f>VLOOKUP(H$2+$A5-1,Data!$C:$E,2)</f>
        <v>-3m 38s SS</v>
      </c>
      <c r="I5" s="12" t="str">
        <f>VLOOKUP(H$2+$A5-1,Data!$C:$E,3)</f>
        <v>+04° 48' 31.2"</v>
      </c>
      <c r="J5" s="11" t="str">
        <f>VLOOKUP(J$2+$A5-1,Data!$C:$E,2)</f>
        <v>+2m 59s SF</v>
      </c>
      <c r="K5" s="11" t="str">
        <f>VLOOKUP(J$2+$A5-1,Data!$C:$E,3)</f>
        <v>+15° 17' 03.5"</v>
      </c>
      <c r="L5" s="12" t="str">
        <f>VLOOKUP(L$2+$A5-1,Data!$C:$E,2)</f>
        <v>+2m 1s SF</v>
      </c>
      <c r="M5" s="12" t="str">
        <f>VLOOKUP(L$2+$A5-1,Data!$C:$E,3)</f>
        <v>+22° 08' 36.2"</v>
      </c>
      <c r="N5" s="7">
        <v>2</v>
      </c>
      <c r="Z5" s="7"/>
    </row>
    <row r="6" spans="1:26" s="8" customFormat="1" ht="12" x14ac:dyDescent="0.25">
      <c r="A6" s="7">
        <v>3</v>
      </c>
      <c r="B6" s="11" t="str">
        <f>VLOOKUP(B$2+$A6-1,Data!$C:$E,2)</f>
        <v>-4m 22s SS</v>
      </c>
      <c r="C6" s="11" t="str">
        <f>VLOOKUP(B$2+$A6-1,Data!$C:$E,3)</f>
        <v>-22° 50' 57.2"</v>
      </c>
      <c r="D6" s="12" t="str">
        <f>VLOOKUP(D$2+$A6-1,Data!$C:$E,2)</f>
        <v>-13m 45s SS</v>
      </c>
      <c r="E6" s="12" t="str">
        <f>VLOOKUP(D$2+$A6-1,Data!$C:$E,3)</f>
        <v>-16° 36' 20.9"</v>
      </c>
      <c r="F6" s="11" t="str">
        <f>VLOOKUP(F$2+$A6-1,Data!$C:$E,2)</f>
        <v>-11m 57s SS</v>
      </c>
      <c r="G6" s="11" t="str">
        <f>VLOOKUP(F$2+$A6-1,Data!$C:$E,3)</f>
        <v>-06° 56' 10.8"</v>
      </c>
      <c r="H6" s="12" t="str">
        <f>VLOOKUP(H$2+$A6-1,Data!$C:$E,2)</f>
        <v>-3m 20s SS</v>
      </c>
      <c r="I6" s="12" t="str">
        <f>VLOOKUP(H$2+$A6-1,Data!$C:$E,3)</f>
        <v>+05° 11' 33.6"</v>
      </c>
      <c r="J6" s="11" t="str">
        <f>VLOOKUP(J$2+$A6-1,Data!$C:$E,2)</f>
        <v>+3m 5s SF</v>
      </c>
      <c r="K6" s="11" t="str">
        <f>VLOOKUP(J$2+$A6-1,Data!$C:$E,3)</f>
        <v>+15° 34' 53.9"</v>
      </c>
      <c r="L6" s="12" t="str">
        <f>VLOOKUP(L$2+$A6-1,Data!$C:$E,2)</f>
        <v>+1m 51s SF</v>
      </c>
      <c r="M6" s="12" t="str">
        <f>VLOOKUP(L$2+$A6-1,Data!$C:$E,3)</f>
        <v>+22° 16' 17.0"</v>
      </c>
      <c r="N6" s="7">
        <v>3</v>
      </c>
      <c r="Z6" s="7"/>
    </row>
    <row r="7" spans="1:26" s="8" customFormat="1" ht="12" x14ac:dyDescent="0.25">
      <c r="A7" s="7">
        <v>4</v>
      </c>
      <c r="B7" s="11" t="str">
        <f>VLOOKUP(B$2+$A7-1,Data!$C:$E,2)</f>
        <v>-4m 49s SS</v>
      </c>
      <c r="C7" s="11" t="str">
        <f>VLOOKUP(B$2+$A7-1,Data!$C:$E,3)</f>
        <v>-22° 45' 00.2"</v>
      </c>
      <c r="D7" s="12" t="str">
        <f>VLOOKUP(D$2+$A7-1,Data!$C:$E,2)</f>
        <v>-13m 51s SS</v>
      </c>
      <c r="E7" s="12" t="str">
        <f>VLOOKUP(D$2+$A7-1,Data!$C:$E,3)</f>
        <v>-16° 18' 38.3"</v>
      </c>
      <c r="F7" s="11" t="str">
        <f>VLOOKUP(F$2+$A7-1,Data!$C:$E,2)</f>
        <v>-11m 44s SS</v>
      </c>
      <c r="G7" s="11" t="str">
        <f>VLOOKUP(F$2+$A7-1,Data!$C:$E,3)</f>
        <v>-06° 33' 10.1"</v>
      </c>
      <c r="H7" s="12" t="str">
        <f>VLOOKUP(H$2+$A7-1,Data!$C:$E,2)</f>
        <v>-3m 3s SS</v>
      </c>
      <c r="I7" s="12" t="str">
        <f>VLOOKUP(H$2+$A7-1,Data!$C:$E,3)</f>
        <v>+05° 34' 30.4"</v>
      </c>
      <c r="J7" s="11" t="str">
        <f>VLOOKUP(J$2+$A7-1,Data!$C:$E,2)</f>
        <v>+3m 11s SF</v>
      </c>
      <c r="K7" s="11" t="str">
        <f>VLOOKUP(J$2+$A7-1,Data!$C:$E,3)</f>
        <v>+15° 52' 28.9"</v>
      </c>
      <c r="L7" s="12" t="str">
        <f>VLOOKUP(L$2+$A7-1,Data!$C:$E,2)</f>
        <v>+1m 41s SF</v>
      </c>
      <c r="M7" s="12" t="str">
        <f>VLOOKUP(L$2+$A7-1,Data!$C:$E,3)</f>
        <v>+22° 23' 34.4"</v>
      </c>
      <c r="N7" s="7">
        <v>4</v>
      </c>
      <c r="Z7" s="7"/>
    </row>
    <row r="8" spans="1:26" s="8" customFormat="1" ht="12" x14ac:dyDescent="0.25">
      <c r="A8" s="13">
        <v>5</v>
      </c>
      <c r="B8" s="9" t="str">
        <f>VLOOKUP(B$2+$A8-1,Data!$C:$E,2)</f>
        <v>-5m 16s SS</v>
      </c>
      <c r="C8" s="9" t="str">
        <f>VLOOKUP(B$2+$A8-1,Data!$C:$E,3)</f>
        <v>-22° 38' 36.1"</v>
      </c>
      <c r="D8" s="10" t="str">
        <f>VLOOKUP(D$2+$A8-1,Data!$C:$E,2)</f>
        <v>-13m 56s SS</v>
      </c>
      <c r="E8" s="10" t="str">
        <f>VLOOKUP(D$2+$A8-1,Data!$C:$E,3)</f>
        <v>-16° 00' 38.7"</v>
      </c>
      <c r="F8" s="9" t="str">
        <f>VLOOKUP(F$2+$A8-1,Data!$C:$E,2)</f>
        <v>-11m 31s SS</v>
      </c>
      <c r="G8" s="9" t="str">
        <f>VLOOKUP(F$2+$A8-1,Data!$C:$E,3)</f>
        <v>-06° 10' 04.0"</v>
      </c>
      <c r="H8" s="10" t="str">
        <f>VLOOKUP(H$2+$A8-1,Data!$C:$E,2)</f>
        <v>-2m 45s SS</v>
      </c>
      <c r="I8" s="10" t="str">
        <f>VLOOKUP(H$2+$A8-1,Data!$C:$E,3)</f>
        <v>+05° 57' 21.4"</v>
      </c>
      <c r="J8" s="9" t="str">
        <f>VLOOKUP(J$2+$A8-1,Data!$C:$E,2)</f>
        <v>+3m 17s SF</v>
      </c>
      <c r="K8" s="9" t="str">
        <f>VLOOKUP(J$2+$A8-1,Data!$C:$E,3)</f>
        <v>+16° 09' 48.0"</v>
      </c>
      <c r="L8" s="10" t="str">
        <f>VLOOKUP(L$2+$A8-1,Data!$C:$E,2)</f>
        <v>+1m 31s SF</v>
      </c>
      <c r="M8" s="10" t="str">
        <f>VLOOKUP(L$2+$A8-1,Data!$C:$E,3)</f>
        <v>+22° 30' 28.3"</v>
      </c>
      <c r="N8" s="13">
        <v>5</v>
      </c>
      <c r="Z8" s="7"/>
    </row>
    <row r="9" spans="1:26" s="8" customFormat="1" ht="12" x14ac:dyDescent="0.25">
      <c r="A9" s="7">
        <v>6</v>
      </c>
      <c r="B9" s="11" t="str">
        <f>VLOOKUP(B$2+$A9-1,Data!$C:$E,2)</f>
        <v>-5m 42s SS</v>
      </c>
      <c r="C9" s="11" t="str">
        <f>VLOOKUP(B$2+$A9-1,Data!$C:$E,3)</f>
        <v>-22° 31' 45.2"</v>
      </c>
      <c r="D9" s="12" t="str">
        <f>VLOOKUP(D$2+$A9-1,Data!$C:$E,2)</f>
        <v>-14m 0s SS</v>
      </c>
      <c r="E9" s="12" t="str">
        <f>VLOOKUP(D$2+$A9-1,Data!$C:$E,3)</f>
        <v>-15° 42' 22.7"</v>
      </c>
      <c r="F9" s="11" t="str">
        <f>VLOOKUP(F$2+$A9-1,Data!$C:$E,2)</f>
        <v>-11m 17s SS</v>
      </c>
      <c r="G9" s="11" t="str">
        <f>VLOOKUP(F$2+$A9-1,Data!$C:$E,3)</f>
        <v>-05° 46' 52.8"</v>
      </c>
      <c r="H9" s="12" t="str">
        <f>VLOOKUP(H$2+$A9-1,Data!$C:$E,2)</f>
        <v>-2m 28s SS</v>
      </c>
      <c r="I9" s="12" t="str">
        <f>VLOOKUP(H$2+$A9-1,Data!$C:$E,3)</f>
        <v>+06° 20' 06.1"</v>
      </c>
      <c r="J9" s="11" t="str">
        <f>VLOOKUP(J$2+$A9-1,Data!$C:$E,2)</f>
        <v>+3m 21s SF</v>
      </c>
      <c r="K9" s="11" t="str">
        <f>VLOOKUP(J$2+$A9-1,Data!$C:$E,3)</f>
        <v>+16° 26' 51.0"</v>
      </c>
      <c r="L9" s="12" t="str">
        <f>VLOOKUP(L$2+$A9-1,Data!$C:$E,2)</f>
        <v>+1m 20s SF</v>
      </c>
      <c r="M9" s="12" t="str">
        <f>VLOOKUP(L$2+$A9-1,Data!$C:$E,3)</f>
        <v>+22° 36' 58.7"</v>
      </c>
      <c r="N9" s="7">
        <v>6</v>
      </c>
      <c r="Z9" s="7"/>
    </row>
    <row r="10" spans="1:26" s="8" customFormat="1" ht="12" x14ac:dyDescent="0.25">
      <c r="A10" s="7">
        <v>7</v>
      </c>
      <c r="B10" s="11" t="str">
        <f>VLOOKUP(B$2+$A10-1,Data!$C:$E,2)</f>
        <v>-6m 8s SS</v>
      </c>
      <c r="C10" s="11" t="str">
        <f>VLOOKUP(B$2+$A10-1,Data!$C:$E,3)</f>
        <v>-22° 24' 27.6"</v>
      </c>
      <c r="D10" s="12" t="str">
        <f>VLOOKUP(D$2+$A10-1,Data!$C:$E,2)</f>
        <v>-14m 4s SS</v>
      </c>
      <c r="E10" s="12" t="str">
        <f>VLOOKUP(D$2+$A10-1,Data!$C:$E,3)</f>
        <v>-15° 23' 50.6"</v>
      </c>
      <c r="F10" s="11" t="str">
        <f>VLOOKUP(F$2+$A10-1,Data!$C:$E,2)</f>
        <v>-11m 3s SS</v>
      </c>
      <c r="G10" s="11" t="str">
        <f>VLOOKUP(F$2+$A10-1,Data!$C:$E,3)</f>
        <v>-05° 23' 37.1"</v>
      </c>
      <c r="H10" s="12" t="str">
        <f>VLOOKUP(H$2+$A10-1,Data!$C:$E,2)</f>
        <v>-2m 11s SS</v>
      </c>
      <c r="I10" s="12" t="str">
        <f>VLOOKUP(H$2+$A10-1,Data!$C:$E,3)</f>
        <v>+06° 42' 44.3"</v>
      </c>
      <c r="J10" s="11" t="str">
        <f>VLOOKUP(J$2+$A10-1,Data!$C:$E,2)</f>
        <v>+3m 26s SF</v>
      </c>
      <c r="K10" s="11" t="str">
        <f>VLOOKUP(J$2+$A10-1,Data!$C:$E,3)</f>
        <v>+16° 43' 37.6"</v>
      </c>
      <c r="L10" s="12" t="str">
        <f>VLOOKUP(L$2+$A10-1,Data!$C:$E,2)</f>
        <v>+1m 9s SF</v>
      </c>
      <c r="M10" s="12" t="str">
        <f>VLOOKUP(L$2+$A10-1,Data!$C:$E,3)</f>
        <v>+22° 43' 05.3"</v>
      </c>
      <c r="N10" s="7">
        <v>7</v>
      </c>
      <c r="Z10" s="7"/>
    </row>
    <row r="11" spans="1:26" s="8" customFormat="1" ht="12" x14ac:dyDescent="0.25">
      <c r="A11" s="7">
        <v>8</v>
      </c>
      <c r="B11" s="11" t="str">
        <f>VLOOKUP(B$2+$A11-1,Data!$C:$E,2)</f>
        <v>-6m 34s SS</v>
      </c>
      <c r="C11" s="11" t="str">
        <f>VLOOKUP(B$2+$A11-1,Data!$C:$E,3)</f>
        <v>-22° 16' 43.5"</v>
      </c>
      <c r="D11" s="12" t="str">
        <f>VLOOKUP(D$2+$A11-1,Data!$C:$E,2)</f>
        <v>-14m 7s SS</v>
      </c>
      <c r="E11" s="12" t="str">
        <f>VLOOKUP(D$2+$A11-1,Data!$C:$E,3)</f>
        <v>-15° 05' 02.8"</v>
      </c>
      <c r="F11" s="11" t="str">
        <f>VLOOKUP(F$2+$A11-1,Data!$C:$E,2)</f>
        <v>-10m 48s SS</v>
      </c>
      <c r="G11" s="11" t="str">
        <f>VLOOKUP(F$2+$A11-1,Data!$C:$E,3)</f>
        <v>-05° 00' 17.0"</v>
      </c>
      <c r="H11" s="12" t="str">
        <f>VLOOKUP(H$2+$A11-1,Data!$C:$E,2)</f>
        <v>-1m 55s SS</v>
      </c>
      <c r="I11" s="12" t="str">
        <f>VLOOKUP(H$2+$A11-1,Data!$C:$E,3)</f>
        <v>+07° 05' 15.7"</v>
      </c>
      <c r="J11" s="11" t="str">
        <f>VLOOKUP(J$2+$A11-1,Data!$C:$E,2)</f>
        <v>+3m 29s SF</v>
      </c>
      <c r="K11" s="11" t="str">
        <f>VLOOKUP(J$2+$A11-1,Data!$C:$E,3)</f>
        <v>+17° 00' 07.7"</v>
      </c>
      <c r="L11" s="12" t="str">
        <f>VLOOKUP(L$2+$A11-1,Data!$C:$E,2)</f>
        <v>+0m 58s SF</v>
      </c>
      <c r="M11" s="12" t="str">
        <f>VLOOKUP(L$2+$A11-1,Data!$C:$E,3)</f>
        <v>+22° 48' 48.0"</v>
      </c>
      <c r="N11" s="7">
        <v>8</v>
      </c>
      <c r="Z11" s="7"/>
    </row>
    <row r="12" spans="1:26" s="8" customFormat="1" ht="12" x14ac:dyDescent="0.25">
      <c r="A12" s="7">
        <v>9</v>
      </c>
      <c r="B12" s="11" t="str">
        <f>VLOOKUP(B$2+$A12-1,Data!$C:$E,2)</f>
        <v>-6m 59s SS</v>
      </c>
      <c r="C12" s="11" t="str">
        <f>VLOOKUP(B$2+$A12-1,Data!$C:$E,3)</f>
        <v>-22° 08' 33.2"</v>
      </c>
      <c r="D12" s="12" t="str">
        <f>VLOOKUP(D$2+$A12-1,Data!$C:$E,2)</f>
        <v>-14m 9s SS</v>
      </c>
      <c r="E12" s="12" t="str">
        <f>VLOOKUP(D$2+$A12-1,Data!$C:$E,3)</f>
        <v>-14° 45' 59.7"</v>
      </c>
      <c r="F12" s="11" t="str">
        <f>VLOOKUP(F$2+$A12-1,Data!$C:$E,2)</f>
        <v>-10m 33s SS</v>
      </c>
      <c r="G12" s="11" t="str">
        <f>VLOOKUP(F$2+$A12-1,Data!$C:$E,3)</f>
        <v>-04° 36' 53.0"</v>
      </c>
      <c r="H12" s="12" t="str">
        <f>VLOOKUP(H$2+$A12-1,Data!$C:$E,2)</f>
        <v>-1m 38s SS</v>
      </c>
      <c r="I12" s="12" t="str">
        <f>VLOOKUP(H$2+$A12-1,Data!$C:$E,3)</f>
        <v>+07° 27' 39.8"</v>
      </c>
      <c r="J12" s="11" t="str">
        <f>VLOOKUP(J$2+$A12-1,Data!$C:$E,2)</f>
        <v>+3m 33s SF</v>
      </c>
      <c r="K12" s="11" t="str">
        <f>VLOOKUP(J$2+$A12-1,Data!$C:$E,3)</f>
        <v>+17° 16' 20.7"</v>
      </c>
      <c r="L12" s="12" t="str">
        <f>VLOOKUP(L$2+$A12-1,Data!$C:$E,2)</f>
        <v>+0m 47s SF</v>
      </c>
      <c r="M12" s="12" t="str">
        <f>VLOOKUP(L$2+$A12-1,Data!$C:$E,3)</f>
        <v>+22° 54' 06.8"</v>
      </c>
      <c r="N12" s="7">
        <v>9</v>
      </c>
      <c r="Z12" s="7"/>
    </row>
    <row r="13" spans="1:26" s="8" customFormat="1" ht="12" x14ac:dyDescent="0.25">
      <c r="A13" s="13">
        <v>10</v>
      </c>
      <c r="B13" s="9" t="str">
        <f>VLOOKUP(B$2+$A13-1,Data!$C:$E,2)</f>
        <v>-7m 23s SS</v>
      </c>
      <c r="C13" s="9" t="str">
        <f>VLOOKUP(B$2+$A13-1,Data!$C:$E,3)</f>
        <v>-21° 59' 56.9"</v>
      </c>
      <c r="D13" s="10" t="str">
        <f>VLOOKUP(D$2+$A13-1,Data!$C:$E,2)</f>
        <v>-14m 10s SS</v>
      </c>
      <c r="E13" s="10" t="str">
        <f>VLOOKUP(D$2+$A13-1,Data!$C:$E,3)</f>
        <v>-14° 26' 41.7"</v>
      </c>
      <c r="F13" s="9" t="str">
        <f>VLOOKUP(F$2+$A13-1,Data!$C:$E,2)</f>
        <v>-10m 18s SS</v>
      </c>
      <c r="G13" s="9" t="str">
        <f>VLOOKUP(F$2+$A13-1,Data!$C:$E,3)</f>
        <v>-04° 13' 25.4"</v>
      </c>
      <c r="H13" s="10" t="str">
        <f>VLOOKUP(H$2+$A13-1,Data!$C:$E,2)</f>
        <v>-1m 22s SS</v>
      </c>
      <c r="I13" s="10" t="str">
        <f>VLOOKUP(H$2+$A13-1,Data!$C:$E,3)</f>
        <v>+07° 49' 56.6"</v>
      </c>
      <c r="J13" s="9" t="str">
        <f>VLOOKUP(J$2+$A13-1,Data!$C:$E,2)</f>
        <v>+3m 35s SF</v>
      </c>
      <c r="K13" s="9" t="str">
        <f>VLOOKUP(J$2+$A13-1,Data!$C:$E,3)</f>
        <v>+17° 32' 16.6"</v>
      </c>
      <c r="L13" s="10" t="str">
        <f>VLOOKUP(L$2+$A13-1,Data!$C:$E,2)</f>
        <v>+0m 35s SF</v>
      </c>
      <c r="M13" s="10" t="str">
        <f>VLOOKUP(L$2+$A13-1,Data!$C:$E,3)</f>
        <v>+22° 59' 01.5"</v>
      </c>
      <c r="N13" s="13">
        <v>10</v>
      </c>
      <c r="Z13" s="7"/>
    </row>
    <row r="14" spans="1:26" s="8" customFormat="1" ht="12" x14ac:dyDescent="0.25">
      <c r="A14" s="7">
        <v>11</v>
      </c>
      <c r="B14" s="11" t="str">
        <f>VLOOKUP(B$2+$A14-1,Data!$C:$E,2)</f>
        <v>-7m 47s SS</v>
      </c>
      <c r="C14" s="11" t="str">
        <f>VLOOKUP(B$2+$A14-1,Data!$C:$E,3)</f>
        <v>-21° 50' 54.9"</v>
      </c>
      <c r="D14" s="12" t="str">
        <f>VLOOKUP(D$2+$A14-1,Data!$C:$E,2)</f>
        <v>-14m 10s SS</v>
      </c>
      <c r="E14" s="12" t="str">
        <f>VLOOKUP(D$2+$A14-1,Data!$C:$E,3)</f>
        <v>-14° 07' 09.1"</v>
      </c>
      <c r="F14" s="11" t="str">
        <f>VLOOKUP(F$2+$A14-1,Data!$C:$E,2)</f>
        <v>-10m 2s SS</v>
      </c>
      <c r="G14" s="11" t="str">
        <f>VLOOKUP(F$2+$A14-1,Data!$C:$E,3)</f>
        <v>-03° 49' 54.6"</v>
      </c>
      <c r="H14" s="12" t="str">
        <f>VLOOKUP(H$2+$A14-1,Data!$C:$E,2)</f>
        <v>-1m 6s SS</v>
      </c>
      <c r="I14" s="12" t="str">
        <f>VLOOKUP(H$2+$A14-1,Data!$C:$E,3)</f>
        <v>+08° 12' 05.5"</v>
      </c>
      <c r="J14" s="11" t="str">
        <f>VLOOKUP(J$2+$A14-1,Data!$C:$E,2)</f>
        <v>+3m 37s SF</v>
      </c>
      <c r="K14" s="11" t="str">
        <f>VLOOKUP(J$2+$A14-1,Data!$C:$E,3)</f>
        <v>+17° 47' 55.0"</v>
      </c>
      <c r="L14" s="12" t="str">
        <f>VLOOKUP(L$2+$A14-1,Data!$C:$E,2)</f>
        <v>+0m 23s SF</v>
      </c>
      <c r="M14" s="12" t="str">
        <f>VLOOKUP(L$2+$A14-1,Data!$C:$E,3)</f>
        <v>+23° 03' 31.9"</v>
      </c>
      <c r="N14" s="7">
        <v>11</v>
      </c>
      <c r="Z14" s="7"/>
    </row>
    <row r="15" spans="1:26" s="8" customFormat="1" ht="12" x14ac:dyDescent="0.25">
      <c r="A15" s="7">
        <v>12</v>
      </c>
      <c r="B15" s="11" t="str">
        <f>VLOOKUP(B$2+$A15-1,Data!$C:$E,2)</f>
        <v>-8m 11s SS</v>
      </c>
      <c r="C15" s="11" t="str">
        <f>VLOOKUP(B$2+$A15-1,Data!$C:$E,3)</f>
        <v>-21° 41' 27.3"</v>
      </c>
      <c r="D15" s="12" t="str">
        <f>VLOOKUP(D$2+$A15-1,Data!$C:$E,2)</f>
        <v>-14m 10s SS</v>
      </c>
      <c r="E15" s="12" t="str">
        <f>VLOOKUP(D$2+$A15-1,Data!$C:$E,3)</f>
        <v>-13° 47' 22.5"</v>
      </c>
      <c r="F15" s="11" t="str">
        <f>VLOOKUP(F$2+$A15-1,Data!$C:$E,2)</f>
        <v>-9m 46s SS</v>
      </c>
      <c r="G15" s="11" t="str">
        <f>VLOOKUP(F$2+$A15-1,Data!$C:$E,3)</f>
        <v>-03° 26' 20.9"</v>
      </c>
      <c r="H15" s="12" t="str">
        <f>VLOOKUP(H$2+$A15-1,Data!$C:$E,2)</f>
        <v>-0m 50s SS</v>
      </c>
      <c r="I15" s="12" t="str">
        <f>VLOOKUP(H$2+$A15-1,Data!$C:$E,3)</f>
        <v>+08° 34' 06.3"</v>
      </c>
      <c r="J15" s="11" t="str">
        <f>VLOOKUP(J$2+$A15-1,Data!$C:$E,2)</f>
        <v>+3m 38s SF</v>
      </c>
      <c r="K15" s="11" t="str">
        <f>VLOOKUP(J$2+$A15-1,Data!$C:$E,3)</f>
        <v>+18° 03' 15.5"</v>
      </c>
      <c r="L15" s="12" t="str">
        <f>VLOOKUP(L$2+$A15-1,Data!$C:$E,2)</f>
        <v>+0m 10s SF</v>
      </c>
      <c r="M15" s="12" t="str">
        <f>VLOOKUP(L$2+$A15-1,Data!$C:$E,3)</f>
        <v>+23° 07' 38.0"</v>
      </c>
      <c r="N15" s="7">
        <v>12</v>
      </c>
      <c r="Z15" s="7"/>
    </row>
    <row r="16" spans="1:26" s="8" customFormat="1" ht="12" x14ac:dyDescent="0.25">
      <c r="A16" s="7">
        <v>13</v>
      </c>
      <c r="B16" s="11" t="str">
        <f>VLOOKUP(B$2+$A16-1,Data!$C:$E,2)</f>
        <v>-8m 33s SS</v>
      </c>
      <c r="C16" s="11" t="str">
        <f>VLOOKUP(B$2+$A16-1,Data!$C:$E,3)</f>
        <v>-21° 31' 34.4"</v>
      </c>
      <c r="D16" s="12" t="str">
        <f>VLOOKUP(D$2+$A16-1,Data!$C:$E,2)</f>
        <v>-14m 9s SS</v>
      </c>
      <c r="E16" s="12" t="str">
        <f>VLOOKUP(D$2+$A16-1,Data!$C:$E,3)</f>
        <v>-13° 27' 22.2"</v>
      </c>
      <c r="F16" s="11" t="str">
        <f>VLOOKUP(F$2+$A16-1,Data!$C:$E,2)</f>
        <v>-9m 30s SS</v>
      </c>
      <c r="G16" s="11" t="str">
        <f>VLOOKUP(F$2+$A16-1,Data!$C:$E,3)</f>
        <v>-03° 02' 44.7"</v>
      </c>
      <c r="H16" s="12" t="str">
        <f>VLOOKUP(H$2+$A16-1,Data!$C:$E,2)</f>
        <v>-0m 35s SS</v>
      </c>
      <c r="I16" s="12" t="str">
        <f>VLOOKUP(H$2+$A16-1,Data!$C:$E,3)</f>
        <v>+08° 55' 58.7"</v>
      </c>
      <c r="J16" s="11" t="str">
        <f>VLOOKUP(J$2+$A16-1,Data!$C:$E,2)</f>
        <v>+3m 39s SF</v>
      </c>
      <c r="K16" s="11" t="str">
        <f>VLOOKUP(J$2+$A16-1,Data!$C:$E,3)</f>
        <v>+18° 18' 18.0"</v>
      </c>
      <c r="L16" s="12" t="str">
        <f>VLOOKUP(L$2+$A16-1,Data!$C:$E,2)</f>
        <v>-0m 2s SS</v>
      </c>
      <c r="M16" s="12" t="str">
        <f>VLOOKUP(L$2+$A16-1,Data!$C:$E,3)</f>
        <v>+23° 11' 19.7"</v>
      </c>
      <c r="N16" s="7">
        <v>13</v>
      </c>
      <c r="Z16" s="7"/>
    </row>
    <row r="17" spans="1:26" s="8" customFormat="1" ht="12" x14ac:dyDescent="0.25">
      <c r="A17" s="7">
        <v>14</v>
      </c>
      <c r="B17" s="11" t="str">
        <f>VLOOKUP(B$2+$A17-1,Data!$C:$E,2)</f>
        <v>-8m 56s SS</v>
      </c>
      <c r="C17" s="11" t="str">
        <f>VLOOKUP(B$2+$A17-1,Data!$C:$E,3)</f>
        <v>-21° 21' 16.6"</v>
      </c>
      <c r="D17" s="12" t="str">
        <f>VLOOKUP(D$2+$A17-1,Data!$C:$E,2)</f>
        <v>-14m 7s SS</v>
      </c>
      <c r="E17" s="12" t="str">
        <f>VLOOKUP(D$2+$A17-1,Data!$C:$E,3)</f>
        <v>-13° 07' 08.5"</v>
      </c>
      <c r="F17" s="11" t="str">
        <f>VLOOKUP(F$2+$A17-1,Data!$C:$E,2)</f>
        <v>-9m 14s SS</v>
      </c>
      <c r="G17" s="11" t="str">
        <f>VLOOKUP(F$2+$A17-1,Data!$C:$E,3)</f>
        <v>-02° 39' 06.3"</v>
      </c>
      <c r="H17" s="12" t="str">
        <f>VLOOKUP(H$2+$A17-1,Data!$C:$E,2)</f>
        <v>-0m 20s SS</v>
      </c>
      <c r="I17" s="12" t="str">
        <f>VLOOKUP(H$2+$A17-1,Data!$C:$E,3)</f>
        <v>+09° 17' 42.3"</v>
      </c>
      <c r="J17" s="11" t="str">
        <f>VLOOKUP(J$2+$A17-1,Data!$C:$E,2)</f>
        <v>+3m 39s SF</v>
      </c>
      <c r="K17" s="11" t="str">
        <f>VLOOKUP(J$2+$A17-1,Data!$C:$E,3)</f>
        <v>+18° 33' 02.1"</v>
      </c>
      <c r="L17" s="12" t="str">
        <f>VLOOKUP(L$2+$A17-1,Data!$C:$E,2)</f>
        <v>-0m 15s SS</v>
      </c>
      <c r="M17" s="12" t="str">
        <f>VLOOKUP(L$2+$A17-1,Data!$C:$E,3)</f>
        <v>+23° 14' 36.8"</v>
      </c>
      <c r="N17" s="7">
        <v>14</v>
      </c>
      <c r="Z17" s="7"/>
    </row>
    <row r="18" spans="1:26" s="8" customFormat="1" ht="12" x14ac:dyDescent="0.25">
      <c r="A18" s="13">
        <v>15</v>
      </c>
      <c r="B18" s="9" t="str">
        <f>VLOOKUP(B$2+$A18-1,Data!$C:$E,2)</f>
        <v>-9m 17s SS</v>
      </c>
      <c r="C18" s="9" t="str">
        <f>VLOOKUP(B$2+$A18-1,Data!$C:$E,3)</f>
        <v>-21° 10' 34.1"</v>
      </c>
      <c r="D18" s="10" t="str">
        <f>VLOOKUP(D$2+$A18-1,Data!$C:$E,2)</f>
        <v>-14m 5s SS</v>
      </c>
      <c r="E18" s="10" t="str">
        <f>VLOOKUP(D$2+$A18-1,Data!$C:$E,3)</f>
        <v>-12° 46' 41.9"</v>
      </c>
      <c r="F18" s="9" t="str">
        <f>VLOOKUP(F$2+$A18-1,Data!$C:$E,2)</f>
        <v>-8m 57s SS</v>
      </c>
      <c r="G18" s="9" t="str">
        <f>VLOOKUP(F$2+$A18-1,Data!$C:$E,3)</f>
        <v>-02° 15' 26.2"</v>
      </c>
      <c r="H18" s="10" t="str">
        <f>VLOOKUP(H$2+$A18-1,Data!$C:$E,2)</f>
        <v>-0m 5s SS</v>
      </c>
      <c r="I18" s="10" t="str">
        <f>VLOOKUP(H$2+$A18-1,Data!$C:$E,3)</f>
        <v>+09° 39' 16.7"</v>
      </c>
      <c r="J18" s="9" t="str">
        <f>VLOOKUP(J$2+$A18-1,Data!$C:$E,2)</f>
        <v>+3m 39s SF</v>
      </c>
      <c r="K18" s="9" t="str">
        <f>VLOOKUP(J$2+$A18-1,Data!$C:$E,3)</f>
        <v>+18° 47' 27.6"</v>
      </c>
      <c r="L18" s="10" t="str">
        <f>VLOOKUP(L$2+$A18-1,Data!$C:$E,2)</f>
        <v>-0m 28s SS</v>
      </c>
      <c r="M18" s="10" t="str">
        <f>VLOOKUP(L$2+$A18-1,Data!$C:$E,3)</f>
        <v>+23° 17' 29.4"</v>
      </c>
      <c r="N18" s="13">
        <v>15</v>
      </c>
      <c r="Z18" s="7"/>
    </row>
    <row r="19" spans="1:26" s="8" customFormat="1" ht="12" x14ac:dyDescent="0.25">
      <c r="A19" s="7">
        <v>16</v>
      </c>
      <c r="B19" s="11" t="str">
        <f>VLOOKUP(B$2+$A19-1,Data!$C:$E,2)</f>
        <v>-9m 38s SS</v>
      </c>
      <c r="C19" s="11" t="str">
        <f>VLOOKUP(B$2+$A19-1,Data!$C:$E,3)</f>
        <v>-20° 59' 27.1"</v>
      </c>
      <c r="D19" s="12" t="str">
        <f>VLOOKUP(D$2+$A19-1,Data!$C:$E,2)</f>
        <v>-14m 2s SS</v>
      </c>
      <c r="E19" s="12" t="str">
        <f>VLOOKUP(D$2+$A19-1,Data!$C:$E,3)</f>
        <v>-12° 26' 02.9"</v>
      </c>
      <c r="F19" s="11" t="str">
        <f>VLOOKUP(F$2+$A19-1,Data!$C:$E,2)</f>
        <v>-8m 40s SS</v>
      </c>
      <c r="G19" s="11" t="str">
        <f>VLOOKUP(F$2+$A19-1,Data!$C:$E,3)</f>
        <v>-01° 51' 44.6"</v>
      </c>
      <c r="H19" s="12" t="str">
        <f>VLOOKUP(H$2+$A19-1,Data!$C:$E,2)</f>
        <v>+0m 9s SF</v>
      </c>
      <c r="I19" s="12" t="str">
        <f>VLOOKUP(H$2+$A19-1,Data!$C:$E,3)</f>
        <v>+10° 00' 41.8"</v>
      </c>
      <c r="J19" s="11" t="str">
        <f>VLOOKUP(J$2+$A19-1,Data!$C:$E,2)</f>
        <v>+3m 38s SF</v>
      </c>
      <c r="K19" s="11" t="str">
        <f>VLOOKUP(J$2+$A19-1,Data!$C:$E,3)</f>
        <v>+19° 01' 34.0"</v>
      </c>
      <c r="L19" s="12" t="str">
        <f>VLOOKUP(L$2+$A19-1,Data!$C:$E,2)</f>
        <v>-0m 41s SS</v>
      </c>
      <c r="M19" s="12" t="str">
        <f>VLOOKUP(L$2+$A19-1,Data!$C:$E,3)</f>
        <v>+23° 19' 57.2"</v>
      </c>
      <c r="N19" s="7">
        <v>16</v>
      </c>
      <c r="Z19" s="7"/>
    </row>
    <row r="20" spans="1:26" s="8" customFormat="1" ht="12" x14ac:dyDescent="0.25">
      <c r="A20" s="7">
        <v>17</v>
      </c>
      <c r="B20" s="11" t="str">
        <f>VLOOKUP(B$2+$A20-1,Data!$C:$E,2)</f>
        <v>-9m 58s SS</v>
      </c>
      <c r="C20" s="11" t="str">
        <f>VLOOKUP(B$2+$A20-1,Data!$C:$E,3)</f>
        <v>-20° 47' 56.1"</v>
      </c>
      <c r="D20" s="12" t="str">
        <f>VLOOKUP(D$2+$A20-1,Data!$C:$E,2)</f>
        <v>-13m 58s SS</v>
      </c>
      <c r="E20" s="12" t="str">
        <f>VLOOKUP(D$2+$A20-1,Data!$C:$E,3)</f>
        <v>-12° 05' 11.7"</v>
      </c>
      <c r="F20" s="11" t="str">
        <f>VLOOKUP(F$2+$A20-1,Data!$C:$E,2)</f>
        <v>-8m 23s SS</v>
      </c>
      <c r="G20" s="11" t="str">
        <f>VLOOKUP(F$2+$A20-1,Data!$C:$E,3)</f>
        <v>-01° 28' 01.9"</v>
      </c>
      <c r="H20" s="12" t="str">
        <f>VLOOKUP(H$2+$A20-1,Data!$C:$E,2)</f>
        <v>+0m 23s SF</v>
      </c>
      <c r="I20" s="12" t="str">
        <f>VLOOKUP(H$2+$A20-1,Data!$C:$E,3)</f>
        <v>+10° 21' 57.0"</v>
      </c>
      <c r="J20" s="11" t="str">
        <f>VLOOKUP(J$2+$A20-1,Data!$C:$E,2)</f>
        <v>+3m 36s SF</v>
      </c>
      <c r="K20" s="11" t="str">
        <f>VLOOKUP(J$2+$A20-1,Data!$C:$E,3)</f>
        <v>+19° 15' 21.2"</v>
      </c>
      <c r="L20" s="12" t="str">
        <f>VLOOKUP(L$2+$A20-1,Data!$C:$E,2)</f>
        <v>-0m 54s SS</v>
      </c>
      <c r="M20" s="12" t="str">
        <f>VLOOKUP(L$2+$A20-1,Data!$C:$E,3)</f>
        <v>+23° 22' 00.3"</v>
      </c>
      <c r="N20" s="7">
        <v>17</v>
      </c>
      <c r="Z20" s="7"/>
    </row>
    <row r="21" spans="1:26" s="8" customFormat="1" ht="12" x14ac:dyDescent="0.25">
      <c r="A21" s="7">
        <v>18</v>
      </c>
      <c r="B21" s="11" t="str">
        <f>VLOOKUP(B$2+$A21-1,Data!$C:$E,2)</f>
        <v>-10m 18s SS</v>
      </c>
      <c r="C21" s="11" t="str">
        <f>VLOOKUP(B$2+$A21-1,Data!$C:$E,3)</f>
        <v>-20° 36' 01.2"</v>
      </c>
      <c r="D21" s="12" t="str">
        <f>VLOOKUP(D$2+$A21-1,Data!$C:$E,2)</f>
        <v>-13m 53s SS</v>
      </c>
      <c r="E21" s="12" t="str">
        <f>VLOOKUP(D$2+$A21-1,Data!$C:$E,3)</f>
        <v>-11° 44' 08.9"</v>
      </c>
      <c r="F21" s="11" t="str">
        <f>VLOOKUP(F$2+$A21-1,Data!$C:$E,2)</f>
        <v>-8m 6s SS</v>
      </c>
      <c r="G21" s="11" t="str">
        <f>VLOOKUP(F$2+$A21-1,Data!$C:$E,3)</f>
        <v>-01° 04' 18.5"</v>
      </c>
      <c r="H21" s="12" t="str">
        <f>VLOOKUP(H$2+$A21-1,Data!$C:$E,2)</f>
        <v>+0m 36s SF</v>
      </c>
      <c r="I21" s="12" t="str">
        <f>VLOOKUP(H$2+$A21-1,Data!$C:$E,3)</f>
        <v>+10° 43' 02.0"</v>
      </c>
      <c r="J21" s="11" t="str">
        <f>VLOOKUP(J$2+$A21-1,Data!$C:$E,2)</f>
        <v>+3m 34s SF</v>
      </c>
      <c r="K21" s="11" t="str">
        <f>VLOOKUP(J$2+$A21-1,Data!$C:$E,3)</f>
        <v>+19° 28' 48.8"</v>
      </c>
      <c r="L21" s="12" t="str">
        <f>VLOOKUP(L$2+$A21-1,Data!$C:$E,2)</f>
        <v>-1m 7s SS</v>
      </c>
      <c r="M21" s="12" t="str">
        <f>VLOOKUP(L$2+$A21-1,Data!$C:$E,3)</f>
        <v>+23° 23' 38.6"</v>
      </c>
      <c r="N21" s="7">
        <v>18</v>
      </c>
      <c r="Z21" s="7"/>
    </row>
    <row r="22" spans="1:26" s="8" customFormat="1" ht="12" x14ac:dyDescent="0.25">
      <c r="A22" s="7">
        <v>19</v>
      </c>
      <c r="B22" s="11" t="str">
        <f>VLOOKUP(B$2+$A22-1,Data!$C:$E,2)</f>
        <v>-10m 37s SS</v>
      </c>
      <c r="C22" s="11" t="str">
        <f>VLOOKUP(B$2+$A22-1,Data!$C:$E,3)</f>
        <v>-20° 23' 42.8"</v>
      </c>
      <c r="D22" s="12" t="str">
        <f>VLOOKUP(D$2+$A22-1,Data!$C:$E,2)</f>
        <v>-13m 48s SS</v>
      </c>
      <c r="E22" s="12" t="str">
        <f>VLOOKUP(D$2+$A22-1,Data!$C:$E,3)</f>
        <v>-11° 22' 54.9"</v>
      </c>
      <c r="F22" s="11" t="str">
        <f>VLOOKUP(F$2+$A22-1,Data!$C:$E,2)</f>
        <v>-7m 49s SS</v>
      </c>
      <c r="G22" s="11" t="str">
        <f>VLOOKUP(F$2+$A22-1,Data!$C:$E,3)</f>
        <v>-00° 40' 34.8"</v>
      </c>
      <c r="H22" s="12" t="str">
        <f>VLOOKUP(H$2+$A22-1,Data!$C:$E,2)</f>
        <v>+0m 50s SF</v>
      </c>
      <c r="I22" s="12" t="str">
        <f>VLOOKUP(H$2+$A22-1,Data!$C:$E,3)</f>
        <v>+11° 03' 56.4"</v>
      </c>
      <c r="J22" s="11" t="str">
        <f>VLOOKUP(J$2+$A22-1,Data!$C:$E,2)</f>
        <v>+3m 31s SF</v>
      </c>
      <c r="K22" s="11" t="str">
        <f>VLOOKUP(J$2+$A22-1,Data!$C:$E,3)</f>
        <v>+19° 41' 56.5"</v>
      </c>
      <c r="L22" s="12" t="str">
        <f>VLOOKUP(L$2+$A22-1,Data!$C:$E,2)</f>
        <v>-1m 20s SS</v>
      </c>
      <c r="M22" s="12" t="str">
        <f>VLOOKUP(L$2+$A22-1,Data!$C:$E,3)</f>
        <v>+23° 24' 52.1"</v>
      </c>
      <c r="N22" s="7">
        <v>19</v>
      </c>
      <c r="Z22" s="7"/>
    </row>
    <row r="23" spans="1:26" s="8" customFormat="1" ht="12" x14ac:dyDescent="0.25">
      <c r="A23" s="13">
        <v>20</v>
      </c>
      <c r="B23" s="9" t="str">
        <f>VLOOKUP(B$2+$A23-1,Data!$C:$E,2)</f>
        <v>-10m 55s SS</v>
      </c>
      <c r="C23" s="9" t="str">
        <f>VLOOKUP(B$2+$A23-1,Data!$C:$E,3)</f>
        <v>-20° 11' 01.3"</v>
      </c>
      <c r="D23" s="10" t="str">
        <f>VLOOKUP(D$2+$A23-1,Data!$C:$E,2)</f>
        <v>-13m 42s SS</v>
      </c>
      <c r="E23" s="10" t="str">
        <f>VLOOKUP(D$2+$A23-1,Data!$C:$E,3)</f>
        <v>-11° 01' 30.1"</v>
      </c>
      <c r="F23" s="9" t="str">
        <f>VLOOKUP(F$2+$A23-1,Data!$C:$E,2)</f>
        <v>-7m 31s SS</v>
      </c>
      <c r="G23" s="9" t="str">
        <f>VLOOKUP(F$2+$A23-1,Data!$C:$E,3)</f>
        <v>-00° 16' 51.2"</v>
      </c>
      <c r="H23" s="10" t="str">
        <f>VLOOKUP(H$2+$A23-1,Data!$C:$E,2)</f>
        <v>+1m 2s SF</v>
      </c>
      <c r="I23" s="10" t="str">
        <f>VLOOKUP(H$2+$A23-1,Data!$C:$E,3)</f>
        <v>+11° 24' 40.0"</v>
      </c>
      <c r="J23" s="9" t="str">
        <f>VLOOKUP(J$2+$A23-1,Data!$C:$E,2)</f>
        <v>+3m 28s SF</v>
      </c>
      <c r="K23" s="9" t="str">
        <f>VLOOKUP(J$2+$A23-1,Data!$C:$E,3)</f>
        <v>+19° 54' 44.1"</v>
      </c>
      <c r="L23" s="10" t="str">
        <f>VLOOKUP(L$2+$A23-1,Data!$C:$E,2)</f>
        <v>-1m 33s SS</v>
      </c>
      <c r="M23" s="10" t="str">
        <f>VLOOKUP(L$2+$A23-1,Data!$C:$E,3)</f>
        <v>+23° 25' 40.8"</v>
      </c>
      <c r="N23" s="13">
        <v>20</v>
      </c>
      <c r="Z23" s="7"/>
    </row>
    <row r="24" spans="1:26" s="8" customFormat="1" ht="12" x14ac:dyDescent="0.25">
      <c r="A24" s="7">
        <v>21</v>
      </c>
      <c r="B24" s="11" t="str">
        <f>VLOOKUP(B$2+$A24-1,Data!$C:$E,2)</f>
        <v>-11m 12s SS</v>
      </c>
      <c r="C24" s="11" t="str">
        <f>VLOOKUP(B$2+$A24-1,Data!$C:$E,3)</f>
        <v>-19° 57' 56.9"</v>
      </c>
      <c r="D24" s="12" t="str">
        <f>VLOOKUP(D$2+$A24-1,Data!$C:$E,2)</f>
        <v>-13m 35s SS</v>
      </c>
      <c r="E24" s="12" t="str">
        <f>VLOOKUP(D$2+$A24-1,Data!$C:$E,3)</f>
        <v>-10° 39' 55.0"</v>
      </c>
      <c r="F24" s="11" t="str">
        <f>VLOOKUP(F$2+$A24-1,Data!$C:$E,2)</f>
        <v>-7m 14s SS</v>
      </c>
      <c r="G24" s="11" t="str">
        <f>VLOOKUP(F$2+$A24-1,Data!$C:$E,3)</f>
        <v>+00° 06' 51.9"</v>
      </c>
      <c r="H24" s="12" t="str">
        <f>VLOOKUP(H$2+$A24-1,Data!$C:$E,2)</f>
        <v>+1m 15s SF</v>
      </c>
      <c r="I24" s="12" t="str">
        <f>VLOOKUP(H$2+$A24-1,Data!$C:$E,3)</f>
        <v>+11° 45' 12.2"</v>
      </c>
      <c r="J24" s="11" t="str">
        <f>VLOOKUP(J$2+$A24-1,Data!$C:$E,2)</f>
        <v>+3m 24s SF</v>
      </c>
      <c r="K24" s="11" t="str">
        <f>VLOOKUP(J$2+$A24-1,Data!$C:$E,3)</f>
        <v>+20° 07' 11.3"</v>
      </c>
      <c r="L24" s="12" t="str">
        <f>VLOOKUP(L$2+$A24-1,Data!$C:$E,2)</f>
        <v>-1m 47s SS</v>
      </c>
      <c r="M24" s="12" t="str">
        <f>VLOOKUP(L$2+$A24-1,Data!$C:$E,3)</f>
        <v>+23° 26' 04.6"</v>
      </c>
      <c r="N24" s="7">
        <v>21</v>
      </c>
      <c r="Z24" s="7"/>
    </row>
    <row r="25" spans="1:26" s="8" customFormat="1" ht="12" x14ac:dyDescent="0.25">
      <c r="A25" s="7">
        <v>22</v>
      </c>
      <c r="B25" s="11" t="str">
        <f>VLOOKUP(B$2+$A25-1,Data!$C:$E,2)</f>
        <v>-11m 29s SS</v>
      </c>
      <c r="C25" s="11" t="str">
        <f>VLOOKUP(B$2+$A25-1,Data!$C:$E,3)</f>
        <v>-19° 44' 30.1"</v>
      </c>
      <c r="D25" s="12" t="str">
        <f>VLOOKUP(D$2+$A25-1,Data!$C:$E,2)</f>
        <v>-13m 28s SS</v>
      </c>
      <c r="E25" s="12" t="str">
        <f>VLOOKUP(D$2+$A25-1,Data!$C:$E,3)</f>
        <v>-10° 18' 10.0"</v>
      </c>
      <c r="F25" s="11" t="str">
        <f>VLOOKUP(F$2+$A25-1,Data!$C:$E,2)</f>
        <v>-6m 56s SS</v>
      </c>
      <c r="G25" s="11" t="str">
        <f>VLOOKUP(F$2+$A25-1,Data!$C:$E,3)</f>
        <v>+00° 30' 34.2"</v>
      </c>
      <c r="H25" s="12" t="str">
        <f>VLOOKUP(H$2+$A25-1,Data!$C:$E,2)</f>
        <v>+1m 26s SF</v>
      </c>
      <c r="I25" s="12" t="str">
        <f>VLOOKUP(H$2+$A25-1,Data!$C:$E,3)</f>
        <v>+12° 05' 32.8"</v>
      </c>
      <c r="J25" s="11" t="str">
        <f>VLOOKUP(J$2+$A25-1,Data!$C:$E,2)</f>
        <v>+3m 20s SF</v>
      </c>
      <c r="K25" s="11" t="str">
        <f>VLOOKUP(J$2+$A25-1,Data!$C:$E,3)</f>
        <v>+20° 19' 17.7"</v>
      </c>
      <c r="L25" s="12" t="str">
        <f>VLOOKUP(L$2+$A25-1,Data!$C:$E,2)</f>
        <v>-2m 0s SS</v>
      </c>
      <c r="M25" s="12" t="str">
        <f>VLOOKUP(L$2+$A25-1,Data!$C:$E,3)</f>
        <v>+23° 26' 03.5"</v>
      </c>
      <c r="N25" s="7">
        <v>22</v>
      </c>
      <c r="Z25" s="7"/>
    </row>
    <row r="26" spans="1:26" s="8" customFormat="1" ht="12" x14ac:dyDescent="0.25">
      <c r="A26" s="7">
        <v>23</v>
      </c>
      <c r="B26" s="11" t="str">
        <f>VLOOKUP(B$2+$A26-1,Data!$C:$E,2)</f>
        <v>-11m 44s SS</v>
      </c>
      <c r="C26" s="11" t="str">
        <f>VLOOKUP(B$2+$A26-1,Data!$C:$E,3)</f>
        <v>-19° 30' 41.3"</v>
      </c>
      <c r="D26" s="12" t="str">
        <f>VLOOKUP(D$2+$A26-1,Data!$C:$E,2)</f>
        <v>-13m 20s SS</v>
      </c>
      <c r="E26" s="12" t="str">
        <f>VLOOKUP(D$2+$A26-1,Data!$C:$E,3)</f>
        <v>-09° 56' 15.6"</v>
      </c>
      <c r="F26" s="11" t="str">
        <f>VLOOKUP(F$2+$A26-1,Data!$C:$E,2)</f>
        <v>-6m 38s SS</v>
      </c>
      <c r="G26" s="11" t="str">
        <f>VLOOKUP(F$2+$A26-1,Data!$C:$E,3)</f>
        <v>+00° 54' 15.1"</v>
      </c>
      <c r="H26" s="12" t="str">
        <f>VLOOKUP(H$2+$A26-1,Data!$C:$E,2)</f>
        <v>+1m 38s SF</v>
      </c>
      <c r="I26" s="12" t="str">
        <f>VLOOKUP(H$2+$A26-1,Data!$C:$E,3)</f>
        <v>+12° 25' 41.4"</v>
      </c>
      <c r="J26" s="11" t="str">
        <f>VLOOKUP(J$2+$A26-1,Data!$C:$E,2)</f>
        <v>+3m 15s SF</v>
      </c>
      <c r="K26" s="11" t="str">
        <f>VLOOKUP(J$2+$A26-1,Data!$C:$E,3)</f>
        <v>+20° 31' 03.3"</v>
      </c>
      <c r="L26" s="12" t="str">
        <f>VLOOKUP(L$2+$A26-1,Data!$C:$E,2)</f>
        <v>-2m 13s SS</v>
      </c>
      <c r="M26" s="12" t="str">
        <f>VLOOKUP(L$2+$A26-1,Data!$C:$E,3)</f>
        <v>+23° 25' 37.6"</v>
      </c>
      <c r="N26" s="7">
        <v>23</v>
      </c>
      <c r="Z26" s="7"/>
    </row>
    <row r="27" spans="1:26" s="8" customFormat="1" ht="12" x14ac:dyDescent="0.25">
      <c r="A27" s="7">
        <v>24</v>
      </c>
      <c r="B27" s="11" t="str">
        <f>VLOOKUP(B$2+$A27-1,Data!$C:$E,2)</f>
        <v>-11m 59s SS</v>
      </c>
      <c r="C27" s="11" t="str">
        <f>VLOOKUP(B$2+$A27-1,Data!$C:$E,3)</f>
        <v>-19° 16' 30.8"</v>
      </c>
      <c r="D27" s="12" t="str">
        <f>VLOOKUP(D$2+$A27-1,Data!$C:$E,2)</f>
        <v>-13m 12s SS</v>
      </c>
      <c r="E27" s="12" t="str">
        <f>VLOOKUP(D$2+$A27-1,Data!$C:$E,3)</f>
        <v>-09° 34' 12.1"</v>
      </c>
      <c r="F27" s="11" t="str">
        <f>VLOOKUP(F$2+$A27-1,Data!$C:$E,2)</f>
        <v>-6m 20s SS</v>
      </c>
      <c r="G27" s="11" t="str">
        <f>VLOOKUP(F$2+$A27-1,Data!$C:$E,3)</f>
        <v>+01° 17' 54.4"</v>
      </c>
      <c r="H27" s="12" t="str">
        <f>VLOOKUP(H$2+$A27-1,Data!$C:$E,2)</f>
        <v>+1m 49s SF</v>
      </c>
      <c r="I27" s="12" t="str">
        <f>VLOOKUP(H$2+$A27-1,Data!$C:$E,3)</f>
        <v>+12° 45' 37.7"</v>
      </c>
      <c r="J27" s="11" t="str">
        <f>VLOOKUP(J$2+$A27-1,Data!$C:$E,2)</f>
        <v>+3m 10s SF</v>
      </c>
      <c r="K27" s="11" t="str">
        <f>VLOOKUP(J$2+$A27-1,Data!$C:$E,3)</f>
        <v>+20° 42' 27.6"</v>
      </c>
      <c r="L27" s="12" t="str">
        <f>VLOOKUP(L$2+$A27-1,Data!$C:$E,2)</f>
        <v>-2m 26s SS</v>
      </c>
      <c r="M27" s="12" t="str">
        <f>VLOOKUP(L$2+$A27-1,Data!$C:$E,3)</f>
        <v>+23° 24' 46.9"</v>
      </c>
      <c r="N27" s="7">
        <v>24</v>
      </c>
      <c r="Z27" s="7"/>
    </row>
    <row r="28" spans="1:26" s="8" customFormat="1" ht="12" x14ac:dyDescent="0.25">
      <c r="A28" s="13">
        <v>25</v>
      </c>
      <c r="B28" s="9" t="str">
        <f>VLOOKUP(B$2+$A28-1,Data!$C:$E,2)</f>
        <v>-12m 14s SS</v>
      </c>
      <c r="C28" s="9" t="str">
        <f>VLOOKUP(B$2+$A28-1,Data!$C:$E,3)</f>
        <v>-19° 01' 59.0"</v>
      </c>
      <c r="D28" s="10" t="str">
        <f>VLOOKUP(D$2+$A28-1,Data!$C:$E,2)</f>
        <v>-13m 3s SS</v>
      </c>
      <c r="E28" s="10" t="str">
        <f>VLOOKUP(D$2+$A28-1,Data!$C:$E,3)</f>
        <v>-09° 12' 00.1"</v>
      </c>
      <c r="F28" s="9" t="str">
        <f>VLOOKUP(F$2+$A28-1,Data!$C:$E,2)</f>
        <v>-6m 2s SS</v>
      </c>
      <c r="G28" s="9" t="str">
        <f>VLOOKUP(F$2+$A28-1,Data!$C:$E,3)</f>
        <v>+01° 41' 31.6"</v>
      </c>
      <c r="H28" s="10" t="str">
        <f>VLOOKUP(H$2+$A28-1,Data!$C:$E,2)</f>
        <v>+1m 59s SF</v>
      </c>
      <c r="I28" s="10" t="str">
        <f>VLOOKUP(H$2+$A28-1,Data!$C:$E,3)</f>
        <v>+13° 05' 21.3"</v>
      </c>
      <c r="J28" s="9" t="str">
        <f>VLOOKUP(J$2+$A28-1,Data!$C:$E,2)</f>
        <v>+3m 4s SF</v>
      </c>
      <c r="K28" s="9" t="str">
        <f>VLOOKUP(J$2+$A28-1,Data!$C:$E,3)</f>
        <v>+20° 53' 30.5"</v>
      </c>
      <c r="L28" s="10" t="str">
        <f>VLOOKUP(L$2+$A28-1,Data!$C:$E,2)</f>
        <v>-2m 39s SS</v>
      </c>
      <c r="M28" s="10" t="str">
        <f>VLOOKUP(L$2+$A28-1,Data!$C:$E,3)</f>
        <v>+23° 23' 31.4"</v>
      </c>
      <c r="N28" s="13">
        <v>25</v>
      </c>
      <c r="Z28" s="7"/>
    </row>
    <row r="29" spans="1:26" s="8" customFormat="1" ht="12" x14ac:dyDescent="0.25">
      <c r="A29" s="7">
        <v>26</v>
      </c>
      <c r="B29" s="11" t="str">
        <f>VLOOKUP(B$2+$A29-1,Data!$C:$E,2)</f>
        <v>-12m 27s SS</v>
      </c>
      <c r="C29" s="11" t="str">
        <f>VLOOKUP(B$2+$A29-1,Data!$C:$E,3)</f>
        <v>-18° 47' 06.3"</v>
      </c>
      <c r="D29" s="12" t="str">
        <f>VLOOKUP(D$2+$A29-1,Data!$C:$E,2)</f>
        <v>-12m 53s SS</v>
      </c>
      <c r="E29" s="12" t="str">
        <f>VLOOKUP(D$2+$A29-1,Data!$C:$E,3)</f>
        <v>-08° 49' 39.9"</v>
      </c>
      <c r="F29" s="11" t="str">
        <f>VLOOKUP(F$2+$A29-1,Data!$C:$E,2)</f>
        <v>-5m 44s SS</v>
      </c>
      <c r="G29" s="11" t="str">
        <f>VLOOKUP(F$2+$A29-1,Data!$C:$E,3)</f>
        <v>+02° 05' 06.4"</v>
      </c>
      <c r="H29" s="12" t="str">
        <f>VLOOKUP(H$2+$A29-1,Data!$C:$E,2)</f>
        <v>+2m 9s SF</v>
      </c>
      <c r="I29" s="12" t="str">
        <f>VLOOKUP(H$2+$A29-1,Data!$C:$E,3)</f>
        <v>+13° 24' 51.8"</v>
      </c>
      <c r="J29" s="11" t="str">
        <f>VLOOKUP(J$2+$A29-1,Data!$C:$E,2)</f>
        <v>+2m 58s SF</v>
      </c>
      <c r="K29" s="11" t="str">
        <f>VLOOKUP(J$2+$A29-1,Data!$C:$E,3)</f>
        <v>+21° 04' 11.7"</v>
      </c>
      <c r="L29" s="12" t="str">
        <f>VLOOKUP(L$2+$A29-1,Data!$C:$E,2)</f>
        <v>-2m 51s SS</v>
      </c>
      <c r="M29" s="12" t="str">
        <f>VLOOKUP(L$2+$A29-1,Data!$C:$E,3)</f>
        <v>+23° 21' 51.2"</v>
      </c>
      <c r="N29" s="7">
        <v>26</v>
      </c>
      <c r="Z29" s="7"/>
    </row>
    <row r="30" spans="1:26" s="8" customFormat="1" ht="12" x14ac:dyDescent="0.25">
      <c r="A30" s="7">
        <v>27</v>
      </c>
      <c r="B30" s="11" t="str">
        <f>VLOOKUP(B$2+$A30-1,Data!$C:$E,2)</f>
        <v>-12m 40s SS</v>
      </c>
      <c r="C30" s="11" t="str">
        <f>VLOOKUP(B$2+$A30-1,Data!$C:$E,3)</f>
        <v>-18° 31' 53.1"</v>
      </c>
      <c r="D30" s="12" t="str">
        <f>VLOOKUP(D$2+$A30-1,Data!$C:$E,2)</f>
        <v>-12m 43s SS</v>
      </c>
      <c r="E30" s="12" t="str">
        <f>VLOOKUP(D$2+$A30-1,Data!$C:$E,3)</f>
        <v>-08° 27' 12.0"</v>
      </c>
      <c r="F30" s="11" t="str">
        <f>VLOOKUP(F$2+$A30-1,Data!$C:$E,2)</f>
        <v>-5m 26s SS</v>
      </c>
      <c r="G30" s="11" t="str">
        <f>VLOOKUP(F$2+$A30-1,Data!$C:$E,3)</f>
        <v>+02° 28' 38.4"</v>
      </c>
      <c r="H30" s="12" t="str">
        <f>VLOOKUP(H$2+$A30-1,Data!$C:$E,2)</f>
        <v>+2m 19s SF</v>
      </c>
      <c r="I30" s="12" t="str">
        <f>VLOOKUP(H$2+$A30-1,Data!$C:$E,3)</f>
        <v>+13° 44' 09.0"</v>
      </c>
      <c r="J30" s="11" t="str">
        <f>VLOOKUP(J$2+$A30-1,Data!$C:$E,2)</f>
        <v>+2m 51s SF</v>
      </c>
      <c r="K30" s="11" t="str">
        <f>VLOOKUP(J$2+$A30-1,Data!$C:$E,3)</f>
        <v>+21° 14' 31.0"</v>
      </c>
      <c r="L30" s="12" t="str">
        <f>VLOOKUP(L$2+$A30-1,Data!$C:$E,2)</f>
        <v>-3m 4s SS</v>
      </c>
      <c r="M30" s="12" t="str">
        <f>VLOOKUP(L$2+$A30-1,Data!$C:$E,3)</f>
        <v>+23° 19' 46.3"</v>
      </c>
      <c r="N30" s="7">
        <v>27</v>
      </c>
      <c r="Z30" s="7"/>
    </row>
    <row r="31" spans="1:26" s="8" customFormat="1" ht="12" x14ac:dyDescent="0.25">
      <c r="A31" s="7">
        <v>28</v>
      </c>
      <c r="B31" s="11" t="str">
        <f>VLOOKUP(B$2+$A31-1,Data!$C:$E,2)</f>
        <v>-12m 51s SS</v>
      </c>
      <c r="C31" s="11" t="str">
        <f>VLOOKUP(B$2+$A31-1,Data!$C:$E,3)</f>
        <v>-18° 16' 19.9"</v>
      </c>
      <c r="D31" s="12" t="str">
        <f>VLOOKUP(D$2+$A31-1,Data!$C:$E,2)</f>
        <v>-12m 32s SS</v>
      </c>
      <c r="E31" s="12" t="str">
        <f>VLOOKUP(D$2+$A31-1,Data!$C:$E,3)</f>
        <v>-08° 04' 36.7"</v>
      </c>
      <c r="F31" s="11" t="str">
        <f>VLOOKUP(F$2+$A31-1,Data!$C:$E,2)</f>
        <v>-5m 8s SS</v>
      </c>
      <c r="G31" s="11" t="str">
        <f>VLOOKUP(F$2+$A31-1,Data!$C:$E,3)</f>
        <v>+02° 52' 07.2"</v>
      </c>
      <c r="H31" s="12" t="str">
        <f>VLOOKUP(H$2+$A31-1,Data!$C:$E,2)</f>
        <v>+2m 28s SF</v>
      </c>
      <c r="I31" s="12" t="str">
        <f>VLOOKUP(H$2+$A31-1,Data!$C:$E,3)</f>
        <v>+14° 03' 12.5"</v>
      </c>
      <c r="J31" s="11" t="str">
        <f>VLOOKUP(J$2+$A31-1,Data!$C:$E,2)</f>
        <v>+2m 44s SF</v>
      </c>
      <c r="K31" s="11" t="str">
        <f>VLOOKUP(J$2+$A31-1,Data!$C:$E,3)</f>
        <v>+21° 24' 28.3"</v>
      </c>
      <c r="L31" s="12" t="str">
        <f>VLOOKUP(L$2+$A31-1,Data!$C:$E,2)</f>
        <v>-3m 16s SS</v>
      </c>
      <c r="M31" s="12" t="str">
        <f>VLOOKUP(L$2+$A31-1,Data!$C:$E,3)</f>
        <v>+23° 17' 16.9"</v>
      </c>
      <c r="N31" s="7">
        <v>28</v>
      </c>
      <c r="Z31" s="7"/>
    </row>
    <row r="32" spans="1:26" s="8" customFormat="1" ht="12" x14ac:dyDescent="0.25">
      <c r="A32" s="7">
        <v>29</v>
      </c>
      <c r="B32" s="11" t="str">
        <f>VLOOKUP(B$2+$A32-1,Data!$C:$E,2)</f>
        <v>-13m 2s SS</v>
      </c>
      <c r="C32" s="11" t="str">
        <f>VLOOKUP(B$2+$A32-1,Data!$C:$E,3)</f>
        <v>-18° 00' 26.9"</v>
      </c>
      <c r="D32" s="12"/>
      <c r="E32" s="12"/>
      <c r="F32" s="11" t="str">
        <f>VLOOKUP(F$2+$A32-1,Data!$C:$E,2)</f>
        <v>-4m 50s SS</v>
      </c>
      <c r="G32" s="11" t="str">
        <f>VLOOKUP(F$2+$A32-1,Data!$C:$E,3)</f>
        <v>+03° 15' 32.5"</v>
      </c>
      <c r="H32" s="12" t="str">
        <f>VLOOKUP(H$2+$A32-1,Data!$C:$E,2)</f>
        <v>+2m 36s SF</v>
      </c>
      <c r="I32" s="12" t="str">
        <f>VLOOKUP(H$2+$A32-1,Data!$C:$E,3)</f>
        <v>+14° 22' 02.0"</v>
      </c>
      <c r="J32" s="11" t="str">
        <f>VLOOKUP(J$2+$A32-1,Data!$C:$E,2)</f>
        <v>+2m 36s SF</v>
      </c>
      <c r="K32" s="11" t="str">
        <f>VLOOKUP(J$2+$A32-1,Data!$C:$E,3)</f>
        <v>+21° 34' 03.2"</v>
      </c>
      <c r="L32" s="12" t="str">
        <f>VLOOKUP(L$2+$A32-1,Data!$C:$E,2)</f>
        <v>-3m 28s SS</v>
      </c>
      <c r="M32" s="12" t="str">
        <f>VLOOKUP(L$2+$A32-1,Data!$C:$E,3)</f>
        <v>+23° 14' 22.9"</v>
      </c>
      <c r="N32" s="7">
        <v>29</v>
      </c>
      <c r="Z32" s="7"/>
    </row>
    <row r="33" spans="1:26" s="8" customFormat="1" ht="12" x14ac:dyDescent="0.25">
      <c r="A33" s="13">
        <v>30</v>
      </c>
      <c r="B33" s="9" t="str">
        <f>VLOOKUP(B$2+$A33-1,Data!$C:$E,2)</f>
        <v>-13m 13s SS</v>
      </c>
      <c r="C33" s="9" t="str">
        <f>VLOOKUP(B$2+$A33-1,Data!$C:$E,3)</f>
        <v>-17° 44' 14.7"</v>
      </c>
      <c r="D33" s="10"/>
      <c r="E33" s="10"/>
      <c r="F33" s="9" t="str">
        <f>VLOOKUP(F$2+$A33-1,Data!$C:$E,2)</f>
        <v>-4m 32s SS</v>
      </c>
      <c r="G33" s="9" t="str">
        <f>VLOOKUP(F$2+$A33-1,Data!$C:$E,3)</f>
        <v>+03° 38' 53.8"</v>
      </c>
      <c r="H33" s="10" t="str">
        <f>VLOOKUP(H$2+$A33-1,Data!$C:$E,2)</f>
        <v>+2m 44s SF</v>
      </c>
      <c r="I33" s="10" t="str">
        <f>VLOOKUP(H$2+$A33-1,Data!$C:$E,3)</f>
        <v>+14° 40' 37.2"</v>
      </c>
      <c r="J33" s="9" t="str">
        <f>VLOOKUP(J$2+$A33-1,Data!$C:$E,2)</f>
        <v>+2m 28s SF</v>
      </c>
      <c r="K33" s="9" t="str">
        <f>VLOOKUP(J$2+$A33-1,Data!$C:$E,3)</f>
        <v>+21° 43' 15.6"</v>
      </c>
      <c r="L33" s="10" t="str">
        <f>VLOOKUP(L$2+$A33-1,Data!$C:$E,2)</f>
        <v>-3m 40s SS</v>
      </c>
      <c r="M33" s="10" t="str">
        <f>VLOOKUP(L$2+$A33-1,Data!$C:$E,3)</f>
        <v>+23° 11' 04.5"</v>
      </c>
      <c r="N33" s="13">
        <v>30</v>
      </c>
      <c r="Z33" s="7"/>
    </row>
    <row r="34" spans="1:26" s="8" customFormat="1" ht="12" x14ac:dyDescent="0.25">
      <c r="A34" s="7">
        <v>31</v>
      </c>
      <c r="B34" s="11" t="str">
        <f>VLOOKUP(B$2+$A34-1,Data!$C:$E,2)</f>
        <v>-13m 22s SS</v>
      </c>
      <c r="C34" s="11" t="str">
        <f>VLOOKUP(B$2+$A34-1,Data!$C:$E,3)</f>
        <v>-17° 27' 43.6"</v>
      </c>
      <c r="D34" s="12"/>
      <c r="E34" s="12"/>
      <c r="F34" s="11" t="str">
        <f>VLOOKUP(F$2+$A34-1,Data!$C:$E,2)</f>
        <v>-4m 14s SS</v>
      </c>
      <c r="G34" s="11" t="str">
        <f>VLOOKUP(F$2+$A34-1,Data!$C:$E,3)</f>
        <v>+04° 02' 11.0"</v>
      </c>
      <c r="H34" s="12"/>
      <c r="I34" s="12"/>
      <c r="J34" s="11" t="str">
        <f>VLOOKUP(J$2+$A34-1,Data!$C:$E,2)</f>
        <v>+2m 19s SF</v>
      </c>
      <c r="K34" s="11" t="str">
        <f>VLOOKUP(J$2+$A34-1,Data!$C:$E,3)</f>
        <v>+21° 52' 05.4"</v>
      </c>
      <c r="L34" s="12"/>
      <c r="M34" s="12"/>
      <c r="N34" s="7">
        <v>31</v>
      </c>
      <c r="Z34" s="7"/>
    </row>
    <row r="35" spans="1:26" s="3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Z35" s="2"/>
    </row>
    <row r="36" spans="1:26" s="1" customFormat="1" ht="21" x14ac:dyDescent="0.4">
      <c r="B36" s="4" t="s">
        <v>578</v>
      </c>
    </row>
    <row r="37" spans="1:26" x14ac:dyDescent="0.3">
      <c r="A37" s="7"/>
      <c r="B37" s="15">
        <v>45108</v>
      </c>
      <c r="C37" s="16"/>
      <c r="D37" s="14">
        <v>45139</v>
      </c>
      <c r="E37" s="14"/>
      <c r="F37" s="15">
        <v>45170</v>
      </c>
      <c r="G37" s="16"/>
      <c r="H37" s="14">
        <v>45200</v>
      </c>
      <c r="I37" s="14"/>
      <c r="J37" s="15">
        <v>45231</v>
      </c>
      <c r="K37" s="16"/>
      <c r="L37" s="14">
        <v>45261</v>
      </c>
      <c r="M37" s="14"/>
      <c r="N37" s="8"/>
    </row>
    <row r="38" spans="1:26" x14ac:dyDescent="0.3">
      <c r="A38" s="7"/>
      <c r="B38" s="9" t="s">
        <v>573</v>
      </c>
      <c r="C38" s="9" t="s">
        <v>574</v>
      </c>
      <c r="D38" s="10" t="s">
        <v>573</v>
      </c>
      <c r="E38" s="10" t="s">
        <v>574</v>
      </c>
      <c r="F38" s="9" t="s">
        <v>573</v>
      </c>
      <c r="G38" s="9" t="s">
        <v>574</v>
      </c>
      <c r="H38" s="10" t="s">
        <v>573</v>
      </c>
      <c r="I38" s="10" t="s">
        <v>574</v>
      </c>
      <c r="J38" s="9" t="s">
        <v>573</v>
      </c>
      <c r="K38" s="9" t="s">
        <v>574</v>
      </c>
      <c r="L38" s="10" t="s">
        <v>573</v>
      </c>
      <c r="M38" s="10" t="s">
        <v>574</v>
      </c>
      <c r="N38" s="8"/>
    </row>
    <row r="39" spans="1:26" s="6" customFormat="1" x14ac:dyDescent="0.3">
      <c r="A39" s="7">
        <v>1</v>
      </c>
      <c r="B39" s="11" t="str">
        <f>VLOOKUP(B$37+$A4-1,Data!$C:$E,2)</f>
        <v>-3m 52s SS</v>
      </c>
      <c r="C39" s="11" t="str">
        <f>VLOOKUP(B$37+$A4-1,Data!$C:$E,3)</f>
        <v>+23° 07' 21.8"</v>
      </c>
      <c r="D39" s="12" t="str">
        <f>VLOOKUP(D$37+$A4-1,Data!$C:$E,2)</f>
        <v>-6m 23s SS</v>
      </c>
      <c r="E39" s="12" t="str">
        <f>VLOOKUP(D$37+$A4-1,Data!$C:$E,3)</f>
        <v>+18° 05' 08.9"</v>
      </c>
      <c r="F39" s="11" t="str">
        <f>VLOOKUP(F$37+$A4-1,Data!$C:$E,2)</f>
        <v>-0m 5s SS</v>
      </c>
      <c r="G39" s="11" t="str">
        <f>VLOOKUP(F$37+$A4-1,Data!$C:$E,3)</f>
        <v>+08° 23' 11.5"</v>
      </c>
      <c r="H39" s="12" t="str">
        <f>VLOOKUP(H$37+$A4-1,Data!$C:$E,2)</f>
        <v>+10m 16s SF</v>
      </c>
      <c r="I39" s="12" t="str">
        <f>VLOOKUP(H$37+$A4-1,Data!$C:$E,3)</f>
        <v>-03° 03' 55.9"</v>
      </c>
      <c r="J39" s="11" t="str">
        <f>VLOOKUP(J$37+$A4-1,Data!$C:$E,2)</f>
        <v>+16m 25s SF</v>
      </c>
      <c r="K39" s="11" t="str">
        <f>VLOOKUP(J$37+$A4-1,Data!$C:$E,3)</f>
        <v>-14° 19' 27.5"</v>
      </c>
      <c r="L39" s="12" t="str">
        <f>VLOOKUP(L$37+$A4-1,Data!$C:$E,2)</f>
        <v>+11m 6s SF</v>
      </c>
      <c r="M39" s="12" t="str">
        <f>VLOOKUP(L$37+$A4-1,Data!$C:$E,3)</f>
        <v>-21° 44' 58.4"</v>
      </c>
      <c r="N39" s="7">
        <v>1</v>
      </c>
      <c r="Z39" s="5"/>
    </row>
    <row r="40" spans="1:26" x14ac:dyDescent="0.3">
      <c r="A40" s="7">
        <v>2</v>
      </c>
      <c r="B40" s="11" t="str">
        <f>VLOOKUP(B$37+$A5-1,Data!$C:$E,2)</f>
        <v>-4m 3s SS</v>
      </c>
      <c r="C40" s="11" t="str">
        <f>VLOOKUP(B$37+$A5-1,Data!$C:$E,3)</f>
        <v>+23° 03' 14.8"</v>
      </c>
      <c r="D40" s="12" t="str">
        <f>VLOOKUP(D$37+$A5-1,Data!$C:$E,2)</f>
        <v>-6m 19s SS</v>
      </c>
      <c r="E40" s="12" t="str">
        <f>VLOOKUP(D$37+$A5-1,Data!$C:$E,3)</f>
        <v>+17° 50' 00.0"</v>
      </c>
      <c r="F40" s="11" t="str">
        <f>VLOOKUP(F$37+$A5-1,Data!$C:$E,2)</f>
        <v>+0m 14s SF</v>
      </c>
      <c r="G40" s="11" t="str">
        <f>VLOOKUP(F$37+$A5-1,Data!$C:$E,3)</f>
        <v>+08° 01' 25.9"</v>
      </c>
      <c r="H40" s="12" t="str">
        <f>VLOOKUP(H$37+$A5-1,Data!$C:$E,2)</f>
        <v>+10m 35s SF</v>
      </c>
      <c r="I40" s="12" t="str">
        <f>VLOOKUP(H$37+$A5-1,Data!$C:$E,3)</f>
        <v>-03° 27' 10.7"</v>
      </c>
      <c r="J40" s="11" t="str">
        <f>VLOOKUP(J$37+$A5-1,Data!$C:$E,2)</f>
        <v>+16m 27s SF</v>
      </c>
      <c r="K40" s="11" t="str">
        <f>VLOOKUP(J$37+$A5-1,Data!$C:$E,3)</f>
        <v>-14° 38' 37.6"</v>
      </c>
      <c r="L40" s="12" t="str">
        <f>VLOOKUP(L$37+$A5-1,Data!$C:$E,2)</f>
        <v>+10m 43s SF</v>
      </c>
      <c r="M40" s="12" t="str">
        <f>VLOOKUP(L$37+$A5-1,Data!$C:$E,3)</f>
        <v>-21° 54' 13.8"</v>
      </c>
      <c r="N40" s="7">
        <v>2</v>
      </c>
    </row>
    <row r="41" spans="1:26" x14ac:dyDescent="0.3">
      <c r="A41" s="7">
        <v>3</v>
      </c>
      <c r="B41" s="11" t="str">
        <f>VLOOKUP(B$37+$A6-1,Data!$C:$E,2)</f>
        <v>-4m 14s SS</v>
      </c>
      <c r="C41" s="11" t="str">
        <f>VLOOKUP(B$37+$A6-1,Data!$C:$E,3)</f>
        <v>+22° 58' 43.7"</v>
      </c>
      <c r="D41" s="12" t="str">
        <f>VLOOKUP(D$37+$A6-1,Data!$C:$E,2)</f>
        <v>-6m 14s SS</v>
      </c>
      <c r="E41" s="12" t="str">
        <f>VLOOKUP(D$37+$A6-1,Data!$C:$E,3)</f>
        <v>+17° 34' 33.7"</v>
      </c>
      <c r="F41" s="11" t="str">
        <f>VLOOKUP(F$37+$A6-1,Data!$C:$E,2)</f>
        <v>+0m 34s SF</v>
      </c>
      <c r="G41" s="11" t="str">
        <f>VLOOKUP(F$37+$A6-1,Data!$C:$E,3)</f>
        <v>+07° 39' 32.4"</v>
      </c>
      <c r="H41" s="12" t="str">
        <f>VLOOKUP(H$37+$A6-1,Data!$C:$E,2)</f>
        <v>+10m 54s SF</v>
      </c>
      <c r="I41" s="12" t="str">
        <f>VLOOKUP(H$37+$A6-1,Data!$C:$E,3)</f>
        <v>-03° 50' 23.2"</v>
      </c>
      <c r="J41" s="11" t="str">
        <f>VLOOKUP(J$37+$A6-1,Data!$C:$E,2)</f>
        <v>+16m 27s SF</v>
      </c>
      <c r="K41" s="11" t="str">
        <f>VLOOKUP(J$37+$A6-1,Data!$C:$E,3)</f>
        <v>-14° 57' 33.6"</v>
      </c>
      <c r="L41" s="12" t="str">
        <f>VLOOKUP(L$37+$A6-1,Data!$C:$E,2)</f>
        <v>+10m 20s SF</v>
      </c>
      <c r="M41" s="12" t="str">
        <f>VLOOKUP(L$37+$A6-1,Data!$C:$E,3)</f>
        <v>-22° 03' 04.1"</v>
      </c>
      <c r="N41" s="7">
        <v>3</v>
      </c>
    </row>
    <row r="42" spans="1:26" x14ac:dyDescent="0.3">
      <c r="A42" s="7">
        <v>4</v>
      </c>
      <c r="B42" s="11" t="str">
        <f>VLOOKUP(B$37+$A7-1,Data!$C:$E,2)</f>
        <v>-4m 25s SS</v>
      </c>
      <c r="C42" s="11" t="str">
        <f>VLOOKUP(B$37+$A7-1,Data!$C:$E,3)</f>
        <v>+22° 53' 48.7"</v>
      </c>
      <c r="D42" s="12" t="str">
        <f>VLOOKUP(D$37+$A7-1,Data!$C:$E,2)</f>
        <v>-6m 9s SS</v>
      </c>
      <c r="E42" s="12" t="str">
        <f>VLOOKUP(D$37+$A7-1,Data!$C:$E,3)</f>
        <v>+17° 18' 50.3"</v>
      </c>
      <c r="F42" s="11" t="str">
        <f>VLOOKUP(F$37+$A7-1,Data!$C:$E,2)</f>
        <v>+0m 53s SF</v>
      </c>
      <c r="G42" s="11" t="str">
        <f>VLOOKUP(F$37+$A7-1,Data!$C:$E,3)</f>
        <v>+07° 17' 31.5"</v>
      </c>
      <c r="H42" s="12" t="str">
        <f>VLOOKUP(H$37+$A7-1,Data!$C:$E,2)</f>
        <v>+11m 13s SF</v>
      </c>
      <c r="I42" s="12" t="str">
        <f>VLOOKUP(H$37+$A7-1,Data!$C:$E,3)</f>
        <v>-04° 13' 33.3"</v>
      </c>
      <c r="J42" s="11" t="str">
        <f>VLOOKUP(J$37+$A7-1,Data!$C:$E,2)</f>
        <v>+16m 27s SF</v>
      </c>
      <c r="K42" s="11" t="str">
        <f>VLOOKUP(J$37+$A7-1,Data!$C:$E,3)</f>
        <v>-15° 16' 15.2"</v>
      </c>
      <c r="L42" s="12" t="str">
        <f>VLOOKUP(L$37+$A7-1,Data!$C:$E,2)</f>
        <v>+9m 56s SF</v>
      </c>
      <c r="M42" s="12" t="str">
        <f>VLOOKUP(L$37+$A7-1,Data!$C:$E,3)</f>
        <v>-22° 11' 29.0"</v>
      </c>
      <c r="N42" s="7">
        <v>4</v>
      </c>
    </row>
    <row r="43" spans="1:26" x14ac:dyDescent="0.3">
      <c r="A43" s="13">
        <v>5</v>
      </c>
      <c r="B43" s="9" t="str">
        <f>VLOOKUP(B$37+$A8-1,Data!$C:$E,2)</f>
        <v>-4m 36s SS</v>
      </c>
      <c r="C43" s="9" t="str">
        <f>VLOOKUP(B$37+$A8-1,Data!$C:$E,3)</f>
        <v>+22° 48' 29.7"</v>
      </c>
      <c r="D43" s="10" t="str">
        <f>VLOOKUP(D$37+$A8-1,Data!$C:$E,2)</f>
        <v>-6m 3s SS</v>
      </c>
      <c r="E43" s="10" t="str">
        <f>VLOOKUP(D$37+$A8-1,Data!$C:$E,3)</f>
        <v>+17° 02' 50.1"</v>
      </c>
      <c r="F43" s="9" t="str">
        <f>VLOOKUP(F$37+$A8-1,Data!$C:$E,2)</f>
        <v>+1m 13s SF</v>
      </c>
      <c r="G43" s="9" t="str">
        <f>VLOOKUP(F$37+$A8-1,Data!$C:$E,3)</f>
        <v>+06° 55' 23.4"</v>
      </c>
      <c r="H43" s="10" t="str">
        <f>VLOOKUP(H$37+$A8-1,Data!$C:$E,2)</f>
        <v>+11m 31s SF</v>
      </c>
      <c r="I43" s="10" t="str">
        <f>VLOOKUP(H$37+$A8-1,Data!$C:$E,3)</f>
        <v>-04° 36' 40.4"</v>
      </c>
      <c r="J43" s="9" t="str">
        <f>VLOOKUP(J$37+$A8-1,Data!$C:$E,2)</f>
        <v>+16m 26s SF</v>
      </c>
      <c r="K43" s="9" t="str">
        <f>VLOOKUP(J$37+$A8-1,Data!$C:$E,3)</f>
        <v>-15° 34' 41.8"</v>
      </c>
      <c r="L43" s="10" t="str">
        <f>VLOOKUP(L$37+$A8-1,Data!$C:$E,2)</f>
        <v>+9m 32s SF</v>
      </c>
      <c r="M43" s="10" t="str">
        <f>VLOOKUP(L$37+$A8-1,Data!$C:$E,3)</f>
        <v>-22° 19' 28.1"</v>
      </c>
      <c r="N43" s="13">
        <v>5</v>
      </c>
    </row>
    <row r="44" spans="1:26" x14ac:dyDescent="0.3">
      <c r="A44" s="7">
        <v>6</v>
      </c>
      <c r="B44" s="11" t="str">
        <f>VLOOKUP(B$37+$A9-1,Data!$C:$E,2)</f>
        <v>-4m 46s SS</v>
      </c>
      <c r="C44" s="11" t="str">
        <f>VLOOKUP(B$37+$A9-1,Data!$C:$E,3)</f>
        <v>+22° 42' 47.0"</v>
      </c>
      <c r="D44" s="12" t="str">
        <f>VLOOKUP(D$37+$A9-1,Data!$C:$E,2)</f>
        <v>-5m 57s SS</v>
      </c>
      <c r="E44" s="12" t="str">
        <f>VLOOKUP(D$37+$A9-1,Data!$C:$E,3)</f>
        <v>+16° 46' 33.2"</v>
      </c>
      <c r="F44" s="11" t="str">
        <f>VLOOKUP(F$37+$A9-1,Data!$C:$E,2)</f>
        <v>+1m 34s SF</v>
      </c>
      <c r="G44" s="11" t="str">
        <f>VLOOKUP(F$37+$A9-1,Data!$C:$E,3)</f>
        <v>+06° 33' 08.3"</v>
      </c>
      <c r="H44" s="12" t="str">
        <f>VLOOKUP(H$37+$A9-1,Data!$C:$E,2)</f>
        <v>+11m 49s SF</v>
      </c>
      <c r="I44" s="12" t="str">
        <f>VLOOKUP(H$37+$A9-1,Data!$C:$E,3)</f>
        <v>-04° 59' 44.3"</v>
      </c>
      <c r="J44" s="11" t="str">
        <f>VLOOKUP(J$37+$A9-1,Data!$C:$E,2)</f>
        <v>+16m 24s SF</v>
      </c>
      <c r="K44" s="11" t="str">
        <f>VLOOKUP(J$37+$A9-1,Data!$C:$E,3)</f>
        <v>-15° 52' 53.2"</v>
      </c>
      <c r="L44" s="12" t="str">
        <f>VLOOKUP(L$37+$A9-1,Data!$C:$E,2)</f>
        <v>+9m 7s SF</v>
      </c>
      <c r="M44" s="12" t="str">
        <f>VLOOKUP(L$37+$A9-1,Data!$C:$E,3)</f>
        <v>-22° 27' 01.4"</v>
      </c>
      <c r="N44" s="7">
        <v>6</v>
      </c>
    </row>
    <row r="45" spans="1:26" x14ac:dyDescent="0.3">
      <c r="A45" s="7">
        <v>7</v>
      </c>
      <c r="B45" s="11" t="str">
        <f>VLOOKUP(B$37+$A10-1,Data!$C:$E,2)</f>
        <v>-4m 55s SS</v>
      </c>
      <c r="C45" s="11" t="str">
        <f>VLOOKUP(B$37+$A10-1,Data!$C:$E,3)</f>
        <v>+22° 36' 40.6"</v>
      </c>
      <c r="D45" s="12" t="str">
        <f>VLOOKUP(D$37+$A10-1,Data!$C:$E,2)</f>
        <v>-5m 50s SS</v>
      </c>
      <c r="E45" s="12" t="str">
        <f>VLOOKUP(D$37+$A10-1,Data!$C:$E,3)</f>
        <v>+16° 30' 00.1"</v>
      </c>
      <c r="F45" s="11" t="str">
        <f>VLOOKUP(F$37+$A10-1,Data!$C:$E,2)</f>
        <v>+1m 54s SF</v>
      </c>
      <c r="G45" s="11" t="str">
        <f>VLOOKUP(F$37+$A10-1,Data!$C:$E,3)</f>
        <v>+06° 10' 46.7"</v>
      </c>
      <c r="H45" s="12" t="str">
        <f>VLOOKUP(H$37+$A10-1,Data!$C:$E,2)</f>
        <v>+12m 7s SF</v>
      </c>
      <c r="I45" s="12" t="str">
        <f>VLOOKUP(H$37+$A10-1,Data!$C:$E,3)</f>
        <v>-05° 22' 44.6"</v>
      </c>
      <c r="J45" s="11" t="str">
        <f>VLOOKUP(J$37+$A10-1,Data!$C:$E,2)</f>
        <v>+16m 21s SF</v>
      </c>
      <c r="K45" s="11" t="str">
        <f>VLOOKUP(J$37+$A10-1,Data!$C:$E,3)</f>
        <v>-16° 10' 48.9"</v>
      </c>
      <c r="L45" s="12" t="str">
        <f>VLOOKUP(L$37+$A10-1,Data!$C:$E,2)</f>
        <v>+8m 41s SF</v>
      </c>
      <c r="M45" s="12" t="str">
        <f>VLOOKUP(L$37+$A10-1,Data!$C:$E,3)</f>
        <v>-22° 34' 08.4"</v>
      </c>
      <c r="N45" s="7">
        <v>7</v>
      </c>
    </row>
    <row r="46" spans="1:26" x14ac:dyDescent="0.3">
      <c r="A46" s="7">
        <v>8</v>
      </c>
      <c r="B46" s="11" t="str">
        <f>VLOOKUP(B$37+$A11-1,Data!$C:$E,2)</f>
        <v>-5m 5s SS</v>
      </c>
      <c r="C46" s="11" t="str">
        <f>VLOOKUP(B$37+$A11-1,Data!$C:$E,3)</f>
        <v>+22° 30' 10.8"</v>
      </c>
      <c r="D46" s="12" t="str">
        <f>VLOOKUP(D$37+$A11-1,Data!$C:$E,2)</f>
        <v>-5m 42s SS</v>
      </c>
      <c r="E46" s="12" t="str">
        <f>VLOOKUP(D$37+$A11-1,Data!$C:$E,3)</f>
        <v>+16° 13' 10.9"</v>
      </c>
      <c r="F46" s="11" t="str">
        <f>VLOOKUP(F$37+$A11-1,Data!$C:$E,2)</f>
        <v>+2m 14s SF</v>
      </c>
      <c r="G46" s="11" t="str">
        <f>VLOOKUP(F$37+$A11-1,Data!$C:$E,3)</f>
        <v>+05° 48' 18.8"</v>
      </c>
      <c r="H46" s="12" t="str">
        <f>VLOOKUP(H$37+$A11-1,Data!$C:$E,2)</f>
        <v>+12m 24s SF</v>
      </c>
      <c r="I46" s="12" t="str">
        <f>VLOOKUP(H$37+$A11-1,Data!$C:$E,3)</f>
        <v>-05° 45' 41.0"</v>
      </c>
      <c r="J46" s="11" t="str">
        <f>VLOOKUP(J$37+$A11-1,Data!$C:$E,2)</f>
        <v>+16m 18s SF</v>
      </c>
      <c r="K46" s="11" t="str">
        <f>VLOOKUP(J$37+$A11-1,Data!$C:$E,3)</f>
        <v>-16° 28' 28.4"</v>
      </c>
      <c r="L46" s="12" t="str">
        <f>VLOOKUP(L$37+$A11-1,Data!$C:$E,2)</f>
        <v>+8m 15s SF</v>
      </c>
      <c r="M46" s="12" t="str">
        <f>VLOOKUP(L$37+$A11-1,Data!$C:$E,3)</f>
        <v>-22° 40' 49.0"</v>
      </c>
      <c r="N46" s="7">
        <v>8</v>
      </c>
    </row>
    <row r="47" spans="1:26" x14ac:dyDescent="0.3">
      <c r="A47" s="7">
        <v>9</v>
      </c>
      <c r="B47" s="11" t="str">
        <f>VLOOKUP(B$37+$A12-1,Data!$C:$E,2)</f>
        <v>-5m 14s SS</v>
      </c>
      <c r="C47" s="11" t="str">
        <f>VLOOKUP(B$37+$A12-1,Data!$C:$E,3)</f>
        <v>+22° 23' 17.6"</v>
      </c>
      <c r="D47" s="12" t="str">
        <f>VLOOKUP(D$37+$A12-1,Data!$C:$E,2)</f>
        <v>-5m 34s SS</v>
      </c>
      <c r="E47" s="12" t="str">
        <f>VLOOKUP(D$37+$A12-1,Data!$C:$E,3)</f>
        <v>+15° 56' 06.1"</v>
      </c>
      <c r="F47" s="11" t="str">
        <f>VLOOKUP(F$37+$A12-1,Data!$C:$E,2)</f>
        <v>+2m 35s SF</v>
      </c>
      <c r="G47" s="11" t="str">
        <f>VLOOKUP(F$37+$A12-1,Data!$C:$E,3)</f>
        <v>+05° 25' 45.1"</v>
      </c>
      <c r="H47" s="12" t="str">
        <f>VLOOKUP(H$37+$A12-1,Data!$C:$E,2)</f>
        <v>+12m 41s SF</v>
      </c>
      <c r="I47" s="12" t="str">
        <f>VLOOKUP(H$37+$A12-1,Data!$C:$E,3)</f>
        <v>-06° 08' 33.0"</v>
      </c>
      <c r="J47" s="11" t="str">
        <f>VLOOKUP(J$37+$A12-1,Data!$C:$E,2)</f>
        <v>+16m 13s SF</v>
      </c>
      <c r="K47" s="11" t="str">
        <f>VLOOKUP(J$37+$A12-1,Data!$C:$E,3)</f>
        <v>-16° 45' 51.4"</v>
      </c>
      <c r="L47" s="12" t="str">
        <f>VLOOKUP(L$37+$A12-1,Data!$C:$E,2)</f>
        <v>+7m 49s SF</v>
      </c>
      <c r="M47" s="12" t="str">
        <f>VLOOKUP(L$37+$A12-1,Data!$C:$E,3)</f>
        <v>-22° 47' 02.9"</v>
      </c>
      <c r="N47" s="7">
        <v>9</v>
      </c>
    </row>
    <row r="48" spans="1:26" x14ac:dyDescent="0.3">
      <c r="A48" s="13">
        <v>10</v>
      </c>
      <c r="B48" s="9" t="str">
        <f>VLOOKUP(B$37+$A13-1,Data!$C:$E,2)</f>
        <v>-5m 23s SS</v>
      </c>
      <c r="C48" s="9" t="str">
        <f>VLOOKUP(B$37+$A13-1,Data!$C:$E,3)</f>
        <v>+22° 16' 01.2"</v>
      </c>
      <c r="D48" s="10" t="str">
        <f>VLOOKUP(D$37+$A13-1,Data!$C:$E,2)</f>
        <v>-5m 25s SS</v>
      </c>
      <c r="E48" s="10" t="str">
        <f>VLOOKUP(D$37+$A13-1,Data!$C:$E,3)</f>
        <v>+15° 38' 45.8"</v>
      </c>
      <c r="F48" s="9" t="str">
        <f>VLOOKUP(F$37+$A13-1,Data!$C:$E,2)</f>
        <v>+2m 56s SF</v>
      </c>
      <c r="G48" s="9" t="str">
        <f>VLOOKUP(F$37+$A13-1,Data!$C:$E,3)</f>
        <v>+05° 03' 05.7"</v>
      </c>
      <c r="H48" s="10" t="str">
        <f>VLOOKUP(H$37+$A13-1,Data!$C:$E,2)</f>
        <v>+12m 57s SF</v>
      </c>
      <c r="I48" s="10" t="str">
        <f>VLOOKUP(H$37+$A13-1,Data!$C:$E,3)</f>
        <v>-06° 31' 20.4"</v>
      </c>
      <c r="J48" s="9" t="str">
        <f>VLOOKUP(J$37+$A13-1,Data!$C:$E,2)</f>
        <v>+16m 8s SF</v>
      </c>
      <c r="K48" s="9" t="str">
        <f>VLOOKUP(J$37+$A13-1,Data!$C:$E,3)</f>
        <v>-17° 02' 57.5"</v>
      </c>
      <c r="L48" s="10" t="str">
        <f>VLOOKUP(L$37+$A13-1,Data!$C:$E,2)</f>
        <v>+7m 22s SF</v>
      </c>
      <c r="M48" s="10" t="str">
        <f>VLOOKUP(L$37+$A13-1,Data!$C:$E,3)</f>
        <v>-22° 52' 49.9"</v>
      </c>
      <c r="N48" s="13">
        <v>10</v>
      </c>
    </row>
    <row r="49" spans="1:14" x14ac:dyDescent="0.3">
      <c r="A49" s="7">
        <v>11</v>
      </c>
      <c r="B49" s="11" t="str">
        <f>VLOOKUP(B$37+$A14-1,Data!$C:$E,2)</f>
        <v>-5m 31s SS</v>
      </c>
      <c r="C49" s="11" t="str">
        <f>VLOOKUP(B$37+$A14-1,Data!$C:$E,3)</f>
        <v>+22° 08' 21.7"</v>
      </c>
      <c r="D49" s="12" t="str">
        <f>VLOOKUP(D$37+$A14-1,Data!$C:$E,2)</f>
        <v>-5m 16s SS</v>
      </c>
      <c r="E49" s="12" t="str">
        <f>VLOOKUP(D$37+$A14-1,Data!$C:$E,3)</f>
        <v>+15° 21' 10.3"</v>
      </c>
      <c r="F49" s="11" t="str">
        <f>VLOOKUP(F$37+$A14-1,Data!$C:$E,2)</f>
        <v>+3m 17s SF</v>
      </c>
      <c r="G49" s="11" t="str">
        <f>VLOOKUP(F$37+$A14-1,Data!$C:$E,3)</f>
        <v>+04° 40' 21.1"</v>
      </c>
      <c r="H49" s="12" t="str">
        <f>VLOOKUP(H$37+$A14-1,Data!$C:$E,2)</f>
        <v>+13m 12s SF</v>
      </c>
      <c r="I49" s="12" t="str">
        <f>VLOOKUP(H$37+$A14-1,Data!$C:$E,3)</f>
        <v>-06° 54' 02.6"</v>
      </c>
      <c r="J49" s="11" t="str">
        <f>VLOOKUP(J$37+$A14-1,Data!$C:$E,2)</f>
        <v>+16m 1s SF</v>
      </c>
      <c r="K49" s="11" t="str">
        <f>VLOOKUP(J$37+$A14-1,Data!$C:$E,3)</f>
        <v>-17° 19' 46.2"</v>
      </c>
      <c r="L49" s="12" t="str">
        <f>VLOOKUP(L$37+$A14-1,Data!$C:$E,2)</f>
        <v>+6m 54s SF</v>
      </c>
      <c r="M49" s="12" t="str">
        <f>VLOOKUP(L$37+$A14-1,Data!$C:$E,3)</f>
        <v>-22° 58' 09.8"</v>
      </c>
      <c r="N49" s="7">
        <v>11</v>
      </c>
    </row>
    <row r="50" spans="1:14" x14ac:dyDescent="0.3">
      <c r="A50" s="7">
        <v>12</v>
      </c>
      <c r="B50" s="11" t="str">
        <f>VLOOKUP(B$37+$A15-1,Data!$C:$E,2)</f>
        <v>-5m 39s SS</v>
      </c>
      <c r="C50" s="11" t="str">
        <f>VLOOKUP(B$37+$A15-1,Data!$C:$E,3)</f>
        <v>+22° 00' 19.3"</v>
      </c>
      <c r="D50" s="12" t="str">
        <f>VLOOKUP(D$37+$A15-1,Data!$C:$E,2)</f>
        <v>-5m 6s SS</v>
      </c>
      <c r="E50" s="12" t="str">
        <f>VLOOKUP(D$37+$A15-1,Data!$C:$E,3)</f>
        <v>+15° 03' 20.1"</v>
      </c>
      <c r="F50" s="11" t="str">
        <f>VLOOKUP(F$37+$A15-1,Data!$C:$E,2)</f>
        <v>+3m 38s SF</v>
      </c>
      <c r="G50" s="11" t="str">
        <f>VLOOKUP(F$37+$A15-1,Data!$C:$E,3)</f>
        <v>+04° 17' 31.5"</v>
      </c>
      <c r="H50" s="12" t="str">
        <f>VLOOKUP(H$37+$A15-1,Data!$C:$E,2)</f>
        <v>+13m 28s SF</v>
      </c>
      <c r="I50" s="12" t="str">
        <f>VLOOKUP(H$37+$A15-1,Data!$C:$E,3)</f>
        <v>-07° 16' 39.4"</v>
      </c>
      <c r="J50" s="11" t="str">
        <f>VLOOKUP(J$37+$A15-1,Data!$C:$E,2)</f>
        <v>+15m 54s SF</v>
      </c>
      <c r="K50" s="11" t="str">
        <f>VLOOKUP(J$37+$A15-1,Data!$C:$E,3)</f>
        <v>-17° 36' 17.0"</v>
      </c>
      <c r="L50" s="12" t="str">
        <f>VLOOKUP(L$37+$A15-1,Data!$C:$E,2)</f>
        <v>+6m 26s SF</v>
      </c>
      <c r="M50" s="12" t="str">
        <f>VLOOKUP(L$37+$A15-1,Data!$C:$E,3)</f>
        <v>-23° 03' 02.5"</v>
      </c>
      <c r="N50" s="7">
        <v>12</v>
      </c>
    </row>
    <row r="51" spans="1:14" x14ac:dyDescent="0.3">
      <c r="A51" s="7">
        <v>13</v>
      </c>
      <c r="B51" s="11" t="str">
        <f>VLOOKUP(B$37+$A16-1,Data!$C:$E,2)</f>
        <v>-5m 46s SS</v>
      </c>
      <c r="C51" s="11" t="str">
        <f>VLOOKUP(B$37+$A16-1,Data!$C:$E,3)</f>
        <v>+21° 51' 54.3"</v>
      </c>
      <c r="D51" s="12" t="str">
        <f>VLOOKUP(D$37+$A16-1,Data!$C:$E,2)</f>
        <v>-4m 56s SS</v>
      </c>
      <c r="E51" s="12" t="str">
        <f>VLOOKUP(D$37+$A16-1,Data!$C:$E,3)</f>
        <v>+14° 45' 15.4"</v>
      </c>
      <c r="F51" s="11" t="str">
        <f>VLOOKUP(F$37+$A16-1,Data!$C:$E,2)</f>
        <v>+3m 59s SF</v>
      </c>
      <c r="G51" s="11" t="str">
        <f>VLOOKUP(F$37+$A16-1,Data!$C:$E,3)</f>
        <v>+03° 54' 37.4"</v>
      </c>
      <c r="H51" s="12" t="str">
        <f>VLOOKUP(H$37+$A16-1,Data!$C:$E,2)</f>
        <v>+13m 42s SF</v>
      </c>
      <c r="I51" s="12" t="str">
        <f>VLOOKUP(H$37+$A16-1,Data!$C:$E,3)</f>
        <v>-07° 39' 10.2"</v>
      </c>
      <c r="J51" s="11" t="str">
        <f>VLOOKUP(J$37+$A16-1,Data!$C:$E,2)</f>
        <v>+15m 46s SF</v>
      </c>
      <c r="K51" s="11" t="str">
        <f>VLOOKUP(J$37+$A16-1,Data!$C:$E,3)</f>
        <v>-17° 52' 29.7"</v>
      </c>
      <c r="L51" s="12" t="str">
        <f>VLOOKUP(L$37+$A16-1,Data!$C:$E,2)</f>
        <v>+5m 58s SF</v>
      </c>
      <c r="M51" s="12" t="str">
        <f>VLOOKUP(L$37+$A16-1,Data!$C:$E,3)</f>
        <v>-23° 07' 27.7"</v>
      </c>
      <c r="N51" s="7">
        <v>13</v>
      </c>
    </row>
    <row r="52" spans="1:14" x14ac:dyDescent="0.3">
      <c r="A52" s="7">
        <v>14</v>
      </c>
      <c r="B52" s="11" t="str">
        <f>VLOOKUP(B$37+$A17-1,Data!$C:$E,2)</f>
        <v>-5m 53s SS</v>
      </c>
      <c r="C52" s="11" t="str">
        <f>VLOOKUP(B$37+$A17-1,Data!$C:$E,3)</f>
        <v>+21° 43' 06.7"</v>
      </c>
      <c r="D52" s="12" t="str">
        <f>VLOOKUP(D$37+$A17-1,Data!$C:$E,2)</f>
        <v>-4m 45s SS</v>
      </c>
      <c r="E52" s="12" t="str">
        <f>VLOOKUP(D$37+$A17-1,Data!$C:$E,3)</f>
        <v>+14° 26' 56.5"</v>
      </c>
      <c r="F52" s="11" t="str">
        <f>VLOOKUP(F$37+$A17-1,Data!$C:$E,2)</f>
        <v>+4m 21s SF</v>
      </c>
      <c r="G52" s="11" t="str">
        <f>VLOOKUP(F$37+$A17-1,Data!$C:$E,3)</f>
        <v>+03° 31' 39.1"</v>
      </c>
      <c r="H52" s="12" t="str">
        <f>VLOOKUP(H$37+$A17-1,Data!$C:$E,2)</f>
        <v>+13m 57s SF</v>
      </c>
      <c r="I52" s="12" t="str">
        <f>VLOOKUP(H$37+$A17-1,Data!$C:$E,3)</f>
        <v>-08° 01' 34.8"</v>
      </c>
      <c r="J52" s="11" t="str">
        <f>VLOOKUP(J$37+$A17-1,Data!$C:$E,2)</f>
        <v>+15m 38s SF</v>
      </c>
      <c r="K52" s="11" t="str">
        <f>VLOOKUP(J$37+$A17-1,Data!$C:$E,3)</f>
        <v>-18° 08' 23.7"</v>
      </c>
      <c r="L52" s="12" t="str">
        <f>VLOOKUP(L$37+$A17-1,Data!$C:$E,2)</f>
        <v>+5m 30s SF</v>
      </c>
      <c r="M52" s="12" t="str">
        <f>VLOOKUP(L$37+$A17-1,Data!$C:$E,3)</f>
        <v>-23° 11' 25.3"</v>
      </c>
      <c r="N52" s="7">
        <v>14</v>
      </c>
    </row>
    <row r="53" spans="1:14" x14ac:dyDescent="0.3">
      <c r="A53" s="13">
        <v>15</v>
      </c>
      <c r="B53" s="9" t="str">
        <f>VLOOKUP(B$37+$A18-1,Data!$C:$E,2)</f>
        <v>-5m 59s SS</v>
      </c>
      <c r="C53" s="9" t="str">
        <f>VLOOKUP(B$37+$A18-1,Data!$C:$E,3)</f>
        <v>+21° 33' 56.9"</v>
      </c>
      <c r="D53" s="10" t="str">
        <f>VLOOKUP(D$37+$A18-1,Data!$C:$E,2)</f>
        <v>-4m 33s SS</v>
      </c>
      <c r="E53" s="10" t="str">
        <f>VLOOKUP(D$37+$A18-1,Data!$C:$E,3)</f>
        <v>+14° 08' 23.8"</v>
      </c>
      <c r="F53" s="9" t="str">
        <f>VLOOKUP(F$37+$A18-1,Data!$C:$E,2)</f>
        <v>+4m 42s SF</v>
      </c>
      <c r="G53" s="9" t="str">
        <f>VLOOKUP(F$37+$A18-1,Data!$C:$E,3)</f>
        <v>+03° 08' 36.9"</v>
      </c>
      <c r="H53" s="10" t="str">
        <f>VLOOKUP(H$37+$A18-1,Data!$C:$E,2)</f>
        <v>+14m 10s SF</v>
      </c>
      <c r="I53" s="10" t="str">
        <f>VLOOKUP(H$37+$A18-1,Data!$C:$E,3)</f>
        <v>-08° 23' 52.8"</v>
      </c>
      <c r="J53" s="9" t="str">
        <f>VLOOKUP(J$37+$A18-1,Data!$C:$E,2)</f>
        <v>+15m 28s SF</v>
      </c>
      <c r="K53" s="9" t="str">
        <f>VLOOKUP(J$37+$A18-1,Data!$C:$E,3)</f>
        <v>-18° 23' 58.6"</v>
      </c>
      <c r="L53" s="10" t="str">
        <f>VLOOKUP(L$37+$A18-1,Data!$C:$E,2)</f>
        <v>+5m 1s SF</v>
      </c>
      <c r="M53" s="10" t="str">
        <f>VLOOKUP(L$37+$A18-1,Data!$C:$E,3)</f>
        <v>-23° 14' 55.1"</v>
      </c>
      <c r="N53" s="13">
        <v>15</v>
      </c>
    </row>
    <row r="54" spans="1:14" x14ac:dyDescent="0.3">
      <c r="A54" s="7">
        <v>16</v>
      </c>
      <c r="B54" s="11" t="str">
        <f>VLOOKUP(B$37+$A19-1,Data!$C:$E,2)</f>
        <v>-6m 5s SS</v>
      </c>
      <c r="C54" s="11" t="str">
        <f>VLOOKUP(B$37+$A19-1,Data!$C:$E,3)</f>
        <v>+21° 24' 24.9"</v>
      </c>
      <c r="D54" s="12" t="str">
        <f>VLOOKUP(D$37+$A19-1,Data!$C:$E,2)</f>
        <v>-4m 21s SS</v>
      </c>
      <c r="E54" s="12" t="str">
        <f>VLOOKUP(D$37+$A19-1,Data!$C:$E,3)</f>
        <v>+13° 49' 37.6"</v>
      </c>
      <c r="F54" s="11" t="str">
        <f>VLOOKUP(F$37+$A19-1,Data!$C:$E,2)</f>
        <v>+5m 3s SF</v>
      </c>
      <c r="G54" s="11" t="str">
        <f>VLOOKUP(F$37+$A19-1,Data!$C:$E,3)</f>
        <v>+02° 45' 31.2"</v>
      </c>
      <c r="H54" s="12" t="str">
        <f>VLOOKUP(H$37+$A19-1,Data!$C:$E,2)</f>
        <v>+14m 23s SF</v>
      </c>
      <c r="I54" s="12" t="str">
        <f>VLOOKUP(H$37+$A19-1,Data!$C:$E,3)</f>
        <v>-08° 46' 03.6"</v>
      </c>
      <c r="J54" s="11" t="str">
        <f>VLOOKUP(J$37+$A19-1,Data!$C:$E,2)</f>
        <v>+15m 17s SF</v>
      </c>
      <c r="K54" s="11" t="str">
        <f>VLOOKUP(J$37+$A19-1,Data!$C:$E,3)</f>
        <v>-18° 39' 14.1"</v>
      </c>
      <c r="L54" s="12" t="str">
        <f>VLOOKUP(L$37+$A19-1,Data!$C:$E,2)</f>
        <v>+4m 32s SF</v>
      </c>
      <c r="M54" s="12" t="str">
        <f>VLOOKUP(L$37+$A19-1,Data!$C:$E,3)</f>
        <v>-23° 17' 57.0"</v>
      </c>
      <c r="N54" s="7">
        <v>16</v>
      </c>
    </row>
    <row r="55" spans="1:14" x14ac:dyDescent="0.3">
      <c r="A55" s="7">
        <v>17</v>
      </c>
      <c r="B55" s="11" t="str">
        <f>VLOOKUP(B$37+$A20-1,Data!$C:$E,2)</f>
        <v>-6m 11s SS</v>
      </c>
      <c r="C55" s="11" t="str">
        <f>VLOOKUP(B$37+$A20-1,Data!$C:$E,3)</f>
        <v>+21° 14' 31.1"</v>
      </c>
      <c r="D55" s="12" t="str">
        <f>VLOOKUP(D$37+$A20-1,Data!$C:$E,2)</f>
        <v>-4m 9s SS</v>
      </c>
      <c r="E55" s="12" t="str">
        <f>VLOOKUP(D$37+$A20-1,Data!$C:$E,3)</f>
        <v>+13° 30' 38.2"</v>
      </c>
      <c r="F55" s="11" t="str">
        <f>VLOOKUP(F$37+$A20-1,Data!$C:$E,2)</f>
        <v>+5m 25s SF</v>
      </c>
      <c r="G55" s="11" t="str">
        <f>VLOOKUP(F$37+$A20-1,Data!$C:$E,3)</f>
        <v>+02° 22' 22.4"</v>
      </c>
      <c r="H55" s="12" t="str">
        <f>VLOOKUP(H$37+$A20-1,Data!$C:$E,2)</f>
        <v>+14m 36s SF</v>
      </c>
      <c r="I55" s="12" t="str">
        <f>VLOOKUP(H$37+$A20-1,Data!$C:$E,3)</f>
        <v>-09° 08' 07.0"</v>
      </c>
      <c r="J55" s="11" t="str">
        <f>VLOOKUP(J$37+$A20-1,Data!$C:$E,2)</f>
        <v>+15m 6s SF</v>
      </c>
      <c r="K55" s="11" t="str">
        <f>VLOOKUP(J$37+$A20-1,Data!$C:$E,3)</f>
        <v>-18° 54' 09.7"</v>
      </c>
      <c r="L55" s="12" t="str">
        <f>VLOOKUP(L$37+$A20-1,Data!$C:$E,2)</f>
        <v>+4m 3s SF</v>
      </c>
      <c r="M55" s="12" t="str">
        <f>VLOOKUP(L$37+$A20-1,Data!$C:$E,3)</f>
        <v>-23° 20' 30.9"</v>
      </c>
      <c r="N55" s="7">
        <v>17</v>
      </c>
    </row>
    <row r="56" spans="1:14" x14ac:dyDescent="0.3">
      <c r="A56" s="7">
        <v>18</v>
      </c>
      <c r="B56" s="11" t="str">
        <f>VLOOKUP(B$37+$A21-1,Data!$C:$E,2)</f>
        <v>-6m 16s SS</v>
      </c>
      <c r="C56" s="11" t="str">
        <f>VLOOKUP(B$37+$A21-1,Data!$C:$E,3)</f>
        <v>+21° 04' 15.6"</v>
      </c>
      <c r="D56" s="12" t="str">
        <f>VLOOKUP(D$37+$A21-1,Data!$C:$E,2)</f>
        <v>-3m 56s SS</v>
      </c>
      <c r="E56" s="12" t="str">
        <f>VLOOKUP(D$37+$A21-1,Data!$C:$E,3)</f>
        <v>+13° 11' 25.9"</v>
      </c>
      <c r="F56" s="11" t="str">
        <f>VLOOKUP(F$37+$A21-1,Data!$C:$E,2)</f>
        <v>+5m 46s SF</v>
      </c>
      <c r="G56" s="11" t="str">
        <f>VLOOKUP(F$37+$A21-1,Data!$C:$E,3)</f>
        <v>+01° 59' 10.8"</v>
      </c>
      <c r="H56" s="12" t="str">
        <f>VLOOKUP(H$37+$A21-1,Data!$C:$E,2)</f>
        <v>+14m 48s SF</v>
      </c>
      <c r="I56" s="12" t="str">
        <f>VLOOKUP(H$37+$A21-1,Data!$C:$E,3)</f>
        <v>-09° 30' 02.4"</v>
      </c>
      <c r="J56" s="11" t="str">
        <f>VLOOKUP(J$37+$A21-1,Data!$C:$E,2)</f>
        <v>+14m 54s SF</v>
      </c>
      <c r="K56" s="11" t="str">
        <f>VLOOKUP(J$37+$A21-1,Data!$C:$E,3)</f>
        <v>-19° 08' 45.1"</v>
      </c>
      <c r="L56" s="12" t="str">
        <f>VLOOKUP(L$37+$A21-1,Data!$C:$E,2)</f>
        <v>+3m 33s SF</v>
      </c>
      <c r="M56" s="12" t="str">
        <f>VLOOKUP(L$37+$A21-1,Data!$C:$E,3)</f>
        <v>-23° 22' 36.8"</v>
      </c>
      <c r="N56" s="7">
        <v>18</v>
      </c>
    </row>
    <row r="57" spans="1:14" x14ac:dyDescent="0.3">
      <c r="A57" s="7">
        <v>19</v>
      </c>
      <c r="B57" s="11" t="str">
        <f>VLOOKUP(B$37+$A22-1,Data!$C:$E,2)</f>
        <v>-6m 20s SS</v>
      </c>
      <c r="C57" s="11" t="str">
        <f>VLOOKUP(B$37+$A22-1,Data!$C:$E,3)</f>
        <v>+20° 53' 38.7"</v>
      </c>
      <c r="D57" s="12" t="str">
        <f>VLOOKUP(D$37+$A22-1,Data!$C:$E,2)</f>
        <v>-3m 42s SS</v>
      </c>
      <c r="E57" s="12" t="str">
        <f>VLOOKUP(D$37+$A22-1,Data!$C:$E,3)</f>
        <v>+12° 52' 01.1"</v>
      </c>
      <c r="F57" s="11" t="str">
        <f>VLOOKUP(F$37+$A22-1,Data!$C:$E,2)</f>
        <v>+6m 7s SF</v>
      </c>
      <c r="G57" s="11" t="str">
        <f>VLOOKUP(F$37+$A22-1,Data!$C:$E,3)</f>
        <v>+01° 35' 56.7"</v>
      </c>
      <c r="H57" s="12" t="str">
        <f>VLOOKUP(H$37+$A22-1,Data!$C:$E,2)</f>
        <v>+14m 59s SF</v>
      </c>
      <c r="I57" s="12" t="str">
        <f>VLOOKUP(H$37+$A22-1,Data!$C:$E,3)</f>
        <v>-09° 51' 49.5"</v>
      </c>
      <c r="J57" s="11" t="str">
        <f>VLOOKUP(J$37+$A22-1,Data!$C:$E,2)</f>
        <v>+14m 41s SF</v>
      </c>
      <c r="K57" s="11" t="str">
        <f>VLOOKUP(J$37+$A22-1,Data!$C:$E,3)</f>
        <v>-19° 22' 59.7"</v>
      </c>
      <c r="L57" s="12" t="str">
        <f>VLOOKUP(L$37+$A22-1,Data!$C:$E,2)</f>
        <v>+3m 4s SF</v>
      </c>
      <c r="M57" s="12" t="str">
        <f>VLOOKUP(L$37+$A22-1,Data!$C:$E,3)</f>
        <v>-23° 24' 14.5"</v>
      </c>
      <c r="N57" s="7">
        <v>19</v>
      </c>
    </row>
    <row r="58" spans="1:14" x14ac:dyDescent="0.3">
      <c r="A58" s="13">
        <v>20</v>
      </c>
      <c r="B58" s="9" t="str">
        <f>VLOOKUP(B$37+$A23-1,Data!$C:$E,2)</f>
        <v>-6m 24s SS</v>
      </c>
      <c r="C58" s="9" t="str">
        <f>VLOOKUP(B$37+$A23-1,Data!$C:$E,3)</f>
        <v>+20° 42' 40.7"</v>
      </c>
      <c r="D58" s="10" t="str">
        <f>VLOOKUP(D$37+$A23-1,Data!$C:$E,2)</f>
        <v>-3m 28s SS</v>
      </c>
      <c r="E58" s="10" t="str">
        <f>VLOOKUP(D$37+$A23-1,Data!$C:$E,3)</f>
        <v>+12° 32' 24.2"</v>
      </c>
      <c r="F58" s="9" t="str">
        <f>VLOOKUP(F$37+$A23-1,Data!$C:$E,2)</f>
        <v>+6m 29s SF</v>
      </c>
      <c r="G58" s="9" t="str">
        <f>VLOOKUP(F$37+$A23-1,Data!$C:$E,3)</f>
        <v>+01° 12' 40.5"</v>
      </c>
      <c r="H58" s="10" t="str">
        <f>VLOOKUP(H$37+$A23-1,Data!$C:$E,2)</f>
        <v>+15m 10s SF</v>
      </c>
      <c r="I58" s="10" t="str">
        <f>VLOOKUP(H$37+$A23-1,Data!$C:$E,3)</f>
        <v>-10° 13' 28.0"</v>
      </c>
      <c r="J58" s="9" t="str">
        <f>VLOOKUP(J$37+$A23-1,Data!$C:$E,2)</f>
        <v>+14m 27s SF</v>
      </c>
      <c r="K58" s="9" t="str">
        <f>VLOOKUP(J$37+$A23-1,Data!$C:$E,3)</f>
        <v>-19° 36' 53.4"</v>
      </c>
      <c r="L58" s="10" t="str">
        <f>VLOOKUP(L$37+$A23-1,Data!$C:$E,2)</f>
        <v>+2m 34s SF</v>
      </c>
      <c r="M58" s="10" t="str">
        <f>VLOOKUP(L$37+$A23-1,Data!$C:$E,3)</f>
        <v>-23° 25' 24.1"</v>
      </c>
      <c r="N58" s="13">
        <v>20</v>
      </c>
    </row>
    <row r="59" spans="1:14" x14ac:dyDescent="0.3">
      <c r="A59" s="7">
        <v>21</v>
      </c>
      <c r="B59" s="11" t="str">
        <f>VLOOKUP(B$37+$A24-1,Data!$C:$E,2)</f>
        <v>-6m 27s SS</v>
      </c>
      <c r="C59" s="11" t="str">
        <f>VLOOKUP(B$37+$A24-1,Data!$C:$E,3)</f>
        <v>+20° 31' 21.7"</v>
      </c>
      <c r="D59" s="12" t="str">
        <f>VLOOKUP(D$37+$A24-1,Data!$C:$E,2)</f>
        <v>-3m 14s SS</v>
      </c>
      <c r="E59" s="12" t="str">
        <f>VLOOKUP(D$37+$A24-1,Data!$C:$E,3)</f>
        <v>+12° 12' 35.4"</v>
      </c>
      <c r="F59" s="11" t="str">
        <f>VLOOKUP(F$37+$A24-1,Data!$C:$E,2)</f>
        <v>+6m 50s SF</v>
      </c>
      <c r="G59" s="11" t="str">
        <f>VLOOKUP(F$37+$A24-1,Data!$C:$E,3)</f>
        <v>+00° 49' 22.6"</v>
      </c>
      <c r="H59" s="12" t="str">
        <f>VLOOKUP(H$37+$A24-1,Data!$C:$E,2)</f>
        <v>+15m 20s SF</v>
      </c>
      <c r="I59" s="12" t="str">
        <f>VLOOKUP(H$37+$A24-1,Data!$C:$E,3)</f>
        <v>-10° 34' 57.3"</v>
      </c>
      <c r="J59" s="11" t="str">
        <f>VLOOKUP(J$37+$A24-1,Data!$C:$E,2)</f>
        <v>+14m 13s SF</v>
      </c>
      <c r="K59" s="11" t="str">
        <f>VLOOKUP(J$37+$A24-1,Data!$C:$E,3)</f>
        <v>-19° 50' 25.6"</v>
      </c>
      <c r="L59" s="12" t="str">
        <f>VLOOKUP(L$37+$A24-1,Data!$C:$E,2)</f>
        <v>+2m 4s SF</v>
      </c>
      <c r="M59" s="12" t="str">
        <f>VLOOKUP(L$37+$A24-1,Data!$C:$E,3)</f>
        <v>-23° 26' 05.4"</v>
      </c>
      <c r="N59" s="7">
        <v>21</v>
      </c>
    </row>
    <row r="60" spans="1:14" x14ac:dyDescent="0.3">
      <c r="A60" s="7">
        <v>22</v>
      </c>
      <c r="B60" s="11" t="str">
        <f>VLOOKUP(B$37+$A25-1,Data!$C:$E,2)</f>
        <v>-6m 30s SS</v>
      </c>
      <c r="C60" s="11" t="str">
        <f>VLOOKUP(B$37+$A25-1,Data!$C:$E,3)</f>
        <v>+20° 19' 42.0"</v>
      </c>
      <c r="D60" s="12" t="str">
        <f>VLOOKUP(D$37+$A25-1,Data!$C:$E,2)</f>
        <v>-2m 58s SS</v>
      </c>
      <c r="E60" s="12" t="str">
        <f>VLOOKUP(D$37+$A25-1,Data!$C:$E,3)</f>
        <v>+11° 52' 35.1"</v>
      </c>
      <c r="F60" s="11" t="str">
        <f>VLOOKUP(F$37+$A25-1,Data!$C:$E,2)</f>
        <v>+7m 11s SF</v>
      </c>
      <c r="G60" s="11" t="str">
        <f>VLOOKUP(F$37+$A25-1,Data!$C:$E,3)</f>
        <v>+00° 26' 03.4"</v>
      </c>
      <c r="H60" s="12" t="str">
        <f>VLOOKUP(H$37+$A25-1,Data!$C:$E,2)</f>
        <v>+15m 30s SF</v>
      </c>
      <c r="I60" s="12" t="str">
        <f>VLOOKUP(H$37+$A25-1,Data!$C:$E,3)</f>
        <v>-10° 56' 17.1"</v>
      </c>
      <c r="J60" s="11" t="str">
        <f>VLOOKUP(J$37+$A25-1,Data!$C:$E,2)</f>
        <v>+13m 57s SF</v>
      </c>
      <c r="K60" s="11" t="str">
        <f>VLOOKUP(J$37+$A25-1,Data!$C:$E,3)</f>
        <v>-20° 03' 36.2"</v>
      </c>
      <c r="L60" s="12" t="str">
        <f>VLOOKUP(L$37+$A25-1,Data!$C:$E,2)</f>
        <v>+1m 34s SF</v>
      </c>
      <c r="M60" s="12" t="str">
        <f>VLOOKUP(L$37+$A25-1,Data!$C:$E,3)</f>
        <v>-23° 26' 18.5"</v>
      </c>
      <c r="N60" s="7">
        <v>22</v>
      </c>
    </row>
    <row r="61" spans="1:14" x14ac:dyDescent="0.3">
      <c r="A61" s="7">
        <v>23</v>
      </c>
      <c r="B61" s="11" t="str">
        <f>VLOOKUP(B$37+$A26-1,Data!$C:$E,2)</f>
        <v>-6m 32s SS</v>
      </c>
      <c r="C61" s="11" t="str">
        <f>VLOOKUP(B$37+$A26-1,Data!$C:$E,3)</f>
        <v>+20° 07' 42.0"</v>
      </c>
      <c r="D61" s="12" t="str">
        <f>VLOOKUP(D$37+$A26-1,Data!$C:$E,2)</f>
        <v>-2m 43s SS</v>
      </c>
      <c r="E61" s="12" t="str">
        <f>VLOOKUP(D$37+$A26-1,Data!$C:$E,3)</f>
        <v>+11° 32' 23.6"</v>
      </c>
      <c r="F61" s="11" t="str">
        <f>VLOOKUP(F$37+$A26-1,Data!$C:$E,2)</f>
        <v>+7m 33s SF</v>
      </c>
      <c r="G61" s="11" t="str">
        <f>VLOOKUP(F$37+$A26-1,Data!$C:$E,3)</f>
        <v>+00° 02' 43.1"</v>
      </c>
      <c r="H61" s="12" t="str">
        <f>VLOOKUP(H$37+$A26-1,Data!$C:$E,2)</f>
        <v>+15m 38s SF</v>
      </c>
      <c r="I61" s="12" t="str">
        <f>VLOOKUP(H$37+$A26-1,Data!$C:$E,3)</f>
        <v>-11° 17' 26.9"</v>
      </c>
      <c r="J61" s="11" t="str">
        <f>VLOOKUP(J$37+$A26-1,Data!$C:$E,2)</f>
        <v>+13m 41s SF</v>
      </c>
      <c r="K61" s="11" t="str">
        <f>VLOOKUP(J$37+$A26-1,Data!$C:$E,3)</f>
        <v>-20° 16' 24.6"</v>
      </c>
      <c r="L61" s="12" t="str">
        <f>VLOOKUP(L$37+$A26-1,Data!$C:$E,2)</f>
        <v>+1m 5s SF</v>
      </c>
      <c r="M61" s="12" t="str">
        <f>VLOOKUP(L$37+$A26-1,Data!$C:$E,3)</f>
        <v>-23° 26' 03.3"</v>
      </c>
      <c r="N61" s="7">
        <v>23</v>
      </c>
    </row>
    <row r="62" spans="1:14" x14ac:dyDescent="0.3">
      <c r="A62" s="7">
        <v>24</v>
      </c>
      <c r="B62" s="11" t="str">
        <f>VLOOKUP(B$37+$A27-1,Data!$C:$E,2)</f>
        <v>-6m 33s SS</v>
      </c>
      <c r="C62" s="11" t="str">
        <f>VLOOKUP(B$37+$A27-1,Data!$C:$E,3)</f>
        <v>+19° 55' 21.8"</v>
      </c>
      <c r="D62" s="12" t="str">
        <f>VLOOKUP(D$37+$A27-1,Data!$C:$E,2)</f>
        <v>-2m 27s SS</v>
      </c>
      <c r="E62" s="12" t="str">
        <f>VLOOKUP(D$37+$A27-1,Data!$C:$E,3)</f>
        <v>+11° 12' 01.3"</v>
      </c>
      <c r="F62" s="11" t="str">
        <f>VLOOKUP(F$37+$A27-1,Data!$C:$E,2)</f>
        <v>+7m 54s SF</v>
      </c>
      <c r="G62" s="11" t="str">
        <f>VLOOKUP(F$37+$A27-1,Data!$C:$E,3)</f>
        <v>-00° 20' 37.8"</v>
      </c>
      <c r="H62" s="12" t="str">
        <f>VLOOKUP(H$37+$A27-1,Data!$C:$E,2)</f>
        <v>+15m 46s SF</v>
      </c>
      <c r="I62" s="12" t="str">
        <f>VLOOKUP(H$37+$A27-1,Data!$C:$E,3)</f>
        <v>-11° 38' 26.5"</v>
      </c>
      <c r="J62" s="11" t="str">
        <f>VLOOKUP(J$37+$A27-1,Data!$C:$E,2)</f>
        <v>+13m 24s SF</v>
      </c>
      <c r="K62" s="11" t="str">
        <f>VLOOKUP(J$37+$A27-1,Data!$C:$E,3)</f>
        <v>-20° 28' 50.6"</v>
      </c>
      <c r="L62" s="12" t="str">
        <f>VLOOKUP(L$37+$A27-1,Data!$C:$E,2)</f>
        <v>+0m 35s SF</v>
      </c>
      <c r="M62" s="12" t="str">
        <f>VLOOKUP(L$37+$A27-1,Data!$C:$E,3)</f>
        <v>-23° 25' 19.9"</v>
      </c>
      <c r="N62" s="7">
        <v>24</v>
      </c>
    </row>
    <row r="63" spans="1:14" x14ac:dyDescent="0.3">
      <c r="A63" s="13">
        <v>25</v>
      </c>
      <c r="B63" s="9" t="str">
        <f>VLOOKUP(B$37+$A28-1,Data!$C:$E,2)</f>
        <v>-6m 34s SS</v>
      </c>
      <c r="C63" s="9" t="str">
        <f>VLOOKUP(B$37+$A28-1,Data!$C:$E,3)</f>
        <v>+19° 42' 41.8"</v>
      </c>
      <c r="D63" s="10" t="str">
        <f>VLOOKUP(D$37+$A28-1,Data!$C:$E,2)</f>
        <v>-2m 11s SS</v>
      </c>
      <c r="E63" s="10" t="str">
        <f>VLOOKUP(D$37+$A28-1,Data!$C:$E,3)</f>
        <v>+10° 51' 28.5"</v>
      </c>
      <c r="F63" s="9" t="str">
        <f>VLOOKUP(F$37+$A28-1,Data!$C:$E,2)</f>
        <v>+8m 14s SF</v>
      </c>
      <c r="G63" s="9" t="str">
        <f>VLOOKUP(F$37+$A28-1,Data!$C:$E,3)</f>
        <v>-00° 43' 59.1"</v>
      </c>
      <c r="H63" s="10" t="str">
        <f>VLOOKUP(H$37+$A28-1,Data!$C:$E,2)</f>
        <v>+15m 54s SF</v>
      </c>
      <c r="I63" s="10" t="str">
        <f>VLOOKUP(H$37+$A28-1,Data!$C:$E,3)</f>
        <v>-11° 59' 15.4"</v>
      </c>
      <c r="J63" s="9" t="str">
        <f>VLOOKUP(J$37+$A28-1,Data!$C:$E,2)</f>
        <v>+13m 7s SF</v>
      </c>
      <c r="K63" s="9" t="str">
        <f>VLOOKUP(J$37+$A28-1,Data!$C:$E,3)</f>
        <v>-20° 40' 53.8"</v>
      </c>
      <c r="L63" s="10" t="str">
        <f>VLOOKUP(L$37+$A28-1,Data!$C:$E,2)</f>
        <v>+0m 5s SF</v>
      </c>
      <c r="M63" s="10" t="str">
        <f>VLOOKUP(L$37+$A28-1,Data!$C:$E,3)</f>
        <v>-23° 24' 08.2"</v>
      </c>
      <c r="N63" s="13">
        <v>25</v>
      </c>
    </row>
    <row r="64" spans="1:14" x14ac:dyDescent="0.3">
      <c r="A64" s="7">
        <v>26</v>
      </c>
      <c r="B64" s="11" t="str">
        <f>VLOOKUP(B$37+$A29-1,Data!$C:$E,2)</f>
        <v>-6m 34s SS</v>
      </c>
      <c r="C64" s="11" t="str">
        <f>VLOOKUP(B$37+$A29-1,Data!$C:$E,3)</f>
        <v>+19° 29' 42.2"</v>
      </c>
      <c r="D64" s="12" t="str">
        <f>VLOOKUP(D$37+$A29-1,Data!$C:$E,2)</f>
        <v>-1m 54s SS</v>
      </c>
      <c r="E64" s="12" t="str">
        <f>VLOOKUP(D$37+$A29-1,Data!$C:$E,3)</f>
        <v>+10° 30' 45.6"</v>
      </c>
      <c r="F64" s="11" t="str">
        <f>VLOOKUP(F$37+$A29-1,Data!$C:$E,2)</f>
        <v>+8m 35s SF</v>
      </c>
      <c r="G64" s="11" t="str">
        <f>VLOOKUP(F$37+$A29-1,Data!$C:$E,3)</f>
        <v>-01° 07' 20.4"</v>
      </c>
      <c r="H64" s="12" t="str">
        <f>VLOOKUP(H$37+$A29-1,Data!$C:$E,2)</f>
        <v>+16m 1s SF</v>
      </c>
      <c r="I64" s="12" t="str">
        <f>VLOOKUP(H$37+$A29-1,Data!$C:$E,3)</f>
        <v>-12° 19' 53.2"</v>
      </c>
      <c r="J64" s="11" t="str">
        <f>VLOOKUP(J$37+$A29-1,Data!$C:$E,2)</f>
        <v>+12m 49s SF</v>
      </c>
      <c r="K64" s="11" t="str">
        <f>VLOOKUP(J$37+$A29-1,Data!$C:$E,3)</f>
        <v>-20° 52' 34.0"</v>
      </c>
      <c r="L64" s="12" t="str">
        <f>VLOOKUP(L$37+$A29-1,Data!$C:$E,2)</f>
        <v>-0m 25s SS</v>
      </c>
      <c r="M64" s="12" t="str">
        <f>VLOOKUP(L$37+$A29-1,Data!$C:$E,3)</f>
        <v>-23° 22' 28.4"</v>
      </c>
      <c r="N64" s="7">
        <v>26</v>
      </c>
    </row>
    <row r="65" spans="1:14" x14ac:dyDescent="0.3">
      <c r="A65" s="7">
        <v>27</v>
      </c>
      <c r="B65" s="11" t="str">
        <f>VLOOKUP(B$37+$A30-1,Data!$C:$E,2)</f>
        <v>-6m 34s SS</v>
      </c>
      <c r="C65" s="11" t="str">
        <f>VLOOKUP(B$37+$A30-1,Data!$C:$E,3)</f>
        <v>+19° 16' 23.3"</v>
      </c>
      <c r="D65" s="12" t="str">
        <f>VLOOKUP(D$37+$A30-1,Data!$C:$E,2)</f>
        <v>-1m 37s SS</v>
      </c>
      <c r="E65" s="12" t="str">
        <f>VLOOKUP(D$37+$A30-1,Data!$C:$E,3)</f>
        <v>+10° 09' 52.7"</v>
      </c>
      <c r="F65" s="11" t="str">
        <f>VLOOKUP(F$37+$A30-1,Data!$C:$E,2)</f>
        <v>+8m 56s SF</v>
      </c>
      <c r="G65" s="11" t="str">
        <f>VLOOKUP(F$37+$A30-1,Data!$C:$E,3)</f>
        <v>-01° 30' 41.4"</v>
      </c>
      <c r="H65" s="12" t="str">
        <f>VLOOKUP(H$37+$A30-1,Data!$C:$E,2)</f>
        <v>+16m 7s SF</v>
      </c>
      <c r="I65" s="12" t="str">
        <f>VLOOKUP(H$37+$A30-1,Data!$C:$E,3)</f>
        <v>-12° 40' 19.7"</v>
      </c>
      <c r="J65" s="11" t="str">
        <f>VLOOKUP(J$37+$A30-1,Data!$C:$E,2)</f>
        <v>+12m 29s SF</v>
      </c>
      <c r="K65" s="11" t="str">
        <f>VLOOKUP(J$37+$A30-1,Data!$C:$E,3)</f>
        <v>-21° 03' 50.9"</v>
      </c>
      <c r="L65" s="12" t="str">
        <f>VLOOKUP(L$37+$A30-1,Data!$C:$E,2)</f>
        <v>-0m 54s SS</v>
      </c>
      <c r="M65" s="12" t="str">
        <f>VLOOKUP(L$37+$A30-1,Data!$C:$E,3)</f>
        <v>-23° 20' 20.5"</v>
      </c>
      <c r="N65" s="7">
        <v>27</v>
      </c>
    </row>
    <row r="66" spans="1:14" x14ac:dyDescent="0.3">
      <c r="A66" s="7">
        <v>28</v>
      </c>
      <c r="B66" s="11" t="str">
        <f>VLOOKUP(B$37+$A31-1,Data!$C:$E,2)</f>
        <v>-6m 33s SS</v>
      </c>
      <c r="C66" s="11" t="str">
        <f>VLOOKUP(B$37+$A31-1,Data!$C:$E,3)</f>
        <v>+19° 02' 45.3"</v>
      </c>
      <c r="D66" s="12" t="str">
        <f>VLOOKUP(D$37+$A31-1,Data!$C:$E,2)</f>
        <v>-1m 19s SS</v>
      </c>
      <c r="E66" s="12" t="str">
        <f>VLOOKUP(D$37+$A31-1,Data!$C:$E,3)</f>
        <v>+09° 48' 50.4"</v>
      </c>
      <c r="F66" s="11" t="str">
        <f>VLOOKUP(F$37+$A31-1,Data!$C:$E,2)</f>
        <v>+9m 16s SF</v>
      </c>
      <c r="G66" s="11" t="str">
        <f>VLOOKUP(F$37+$A31-1,Data!$C:$E,3)</f>
        <v>-01° 54' 01.7"</v>
      </c>
      <c r="H66" s="12" t="str">
        <f>VLOOKUP(H$37+$A31-1,Data!$C:$E,2)</f>
        <v>+16m 12s SF</v>
      </c>
      <c r="I66" s="12" t="str">
        <f>VLOOKUP(H$37+$A31-1,Data!$C:$E,3)</f>
        <v>-13° 00' 34.3"</v>
      </c>
      <c r="J66" s="11" t="str">
        <f>VLOOKUP(J$37+$A31-1,Data!$C:$E,2)</f>
        <v>+12m 10s SF</v>
      </c>
      <c r="K66" s="11" t="str">
        <f>VLOOKUP(J$37+$A31-1,Data!$C:$E,3)</f>
        <v>-21° 14' 44.0"</v>
      </c>
      <c r="L66" s="12" t="str">
        <f>VLOOKUP(L$37+$A31-1,Data!$C:$E,2)</f>
        <v>-1m 23s SS</v>
      </c>
      <c r="M66" s="12" t="str">
        <f>VLOOKUP(L$37+$A31-1,Data!$C:$E,3)</f>
        <v>-23° 17' 44.4"</v>
      </c>
      <c r="N66" s="7">
        <v>28</v>
      </c>
    </row>
    <row r="67" spans="1:14" x14ac:dyDescent="0.3">
      <c r="A67" s="7">
        <v>29</v>
      </c>
      <c r="B67" s="11" t="str">
        <f>VLOOKUP(B$37+$A32-1,Data!$C:$E,2)</f>
        <v>-6m 31s SS</v>
      </c>
      <c r="C67" s="11" t="str">
        <f>VLOOKUP(B$37+$A32-1,Data!$C:$E,3)</f>
        <v>+18° 48' 48.6"</v>
      </c>
      <c r="D67" s="12" t="str">
        <f>VLOOKUP(D$37+$A32-1,Data!$C:$E,2)</f>
        <v>-1m 1s SS</v>
      </c>
      <c r="E67" s="12" t="str">
        <f>VLOOKUP(D$37+$A32-1,Data!$C:$E,3)</f>
        <v>+09° 27' 38.8"</v>
      </c>
      <c r="F67" s="11" t="str">
        <f>VLOOKUP(F$37+$A32-1,Data!$C:$E,2)</f>
        <v>+9m 36s SF</v>
      </c>
      <c r="G67" s="11" t="str">
        <f>VLOOKUP(F$37+$A32-1,Data!$C:$E,3)</f>
        <v>-02° 17' 21.2"</v>
      </c>
      <c r="H67" s="12" t="str">
        <f>VLOOKUP(H$37+$A32-1,Data!$C:$E,2)</f>
        <v>+16m 17s SF</v>
      </c>
      <c r="I67" s="12" t="str">
        <f>VLOOKUP(H$37+$A32-1,Data!$C:$E,3)</f>
        <v>-13° 20' 36.8"</v>
      </c>
      <c r="J67" s="11" t="str">
        <f>VLOOKUP(J$37+$A32-1,Data!$C:$E,2)</f>
        <v>+11m 49s SF</v>
      </c>
      <c r="K67" s="11" t="str">
        <f>VLOOKUP(J$37+$A32-1,Data!$C:$E,3)</f>
        <v>-21° 25' 13.2"</v>
      </c>
      <c r="L67" s="12" t="str">
        <f>VLOOKUP(L$37+$A32-1,Data!$C:$E,2)</f>
        <v>-1m 53s SS</v>
      </c>
      <c r="M67" s="12" t="str">
        <f>VLOOKUP(L$37+$A32-1,Data!$C:$E,3)</f>
        <v>-23° 14' 40.4"</v>
      </c>
      <c r="N67" s="7">
        <v>29</v>
      </c>
    </row>
    <row r="68" spans="1:14" x14ac:dyDescent="0.3">
      <c r="A68" s="13">
        <v>30</v>
      </c>
      <c r="B68" s="9" t="str">
        <f>VLOOKUP(B$37+$A33-1,Data!$C:$E,2)</f>
        <v>-6m 29s SS</v>
      </c>
      <c r="C68" s="9" t="str">
        <f>VLOOKUP(B$37+$A33-1,Data!$C:$E,3)</f>
        <v>+18° 34' 33.5"</v>
      </c>
      <c r="D68" s="10" t="str">
        <f>VLOOKUP(D$37+$A33-1,Data!$C:$E,2)</f>
        <v>-0m 43s SS</v>
      </c>
      <c r="E68" s="10" t="str">
        <f>VLOOKUP(D$37+$A33-1,Data!$C:$E,3)</f>
        <v>+09° 06' 18.3"</v>
      </c>
      <c r="F68" s="9" t="str">
        <f>VLOOKUP(F$37+$A33-1,Data!$C:$E,2)</f>
        <v>+9m 56s SF</v>
      </c>
      <c r="G68" s="9" t="str">
        <f>VLOOKUP(F$37+$A33-1,Data!$C:$E,3)</f>
        <v>-02° 40' 39.3"</v>
      </c>
      <c r="H68" s="10" t="str">
        <f>VLOOKUP(H$37+$A33-1,Data!$C:$E,2)</f>
        <v>+16m 20s SF</v>
      </c>
      <c r="I68" s="10" t="str">
        <f>VLOOKUP(H$37+$A33-1,Data!$C:$E,3)</f>
        <v>-13° 40' 26.7"</v>
      </c>
      <c r="J68" s="9" t="str">
        <f>VLOOKUP(J$37+$A33-1,Data!$C:$E,2)</f>
        <v>+11m 28s SF</v>
      </c>
      <c r="K68" s="9" t="str">
        <f>VLOOKUP(J$37+$A33-1,Data!$C:$E,3)</f>
        <v>-21° 35' 18.0"</v>
      </c>
      <c r="L68" s="10" t="str">
        <f>VLOOKUP(L$37+$A33-1,Data!$C:$E,2)</f>
        <v>-2m 22s SS</v>
      </c>
      <c r="M68" s="10" t="str">
        <f>VLOOKUP(L$37+$A33-1,Data!$C:$E,3)</f>
        <v>-23° 11' 08.4"</v>
      </c>
      <c r="N68" s="13">
        <v>30</v>
      </c>
    </row>
    <row r="69" spans="1:14" x14ac:dyDescent="0.3">
      <c r="A69" s="7">
        <v>31</v>
      </c>
      <c r="B69" s="11" t="str">
        <f>VLOOKUP(B$37+$A34-1,Data!$C:$E,2)</f>
        <v>-6m 26s SS</v>
      </c>
      <c r="C69" s="11" t="str">
        <f>VLOOKUP(B$37+$A34-1,Data!$C:$E,3)</f>
        <v>+18° 20' 00.2"</v>
      </c>
      <c r="D69" s="12" t="str">
        <f>VLOOKUP(D$37+$A34-1,Data!$C:$E,2)</f>
        <v>-0m 24s SS</v>
      </c>
      <c r="E69" s="12" t="str">
        <f>VLOOKUP(D$37+$A34-1,Data!$C:$E,3)</f>
        <v>+08° 44' 49.1"</v>
      </c>
      <c r="F69" s="11"/>
      <c r="G69" s="11"/>
      <c r="H69" s="12" t="str">
        <f>VLOOKUP(H$37+$A34-1,Data!$C:$E,2)</f>
        <v>+16m 23s SF</v>
      </c>
      <c r="I69" s="12" t="str">
        <f>VLOOKUP(H$37+$A34-1,Data!$C:$E,3)</f>
        <v>-14° 00' 03.8"</v>
      </c>
      <c r="J69" s="11"/>
      <c r="K69" s="11"/>
      <c r="L69" s="12" t="str">
        <f>VLOOKUP(L$37+$A34-1,Data!$C:$E,2)</f>
        <v>-2m 50s SS</v>
      </c>
      <c r="M69" s="12" t="str">
        <f>VLOOKUP(L$37+$A34-1,Data!$C:$E,3)</f>
        <v>-23° 07' 08.6"</v>
      </c>
      <c r="N69" s="7">
        <v>31</v>
      </c>
    </row>
  </sheetData>
  <mergeCells count="12">
    <mergeCell ref="L37:M37"/>
    <mergeCell ref="B2:C2"/>
    <mergeCell ref="D2:E2"/>
    <mergeCell ref="F2:G2"/>
    <mergeCell ref="H2:I2"/>
    <mergeCell ref="J2:K2"/>
    <mergeCell ref="L2:M2"/>
    <mergeCell ref="B37:C37"/>
    <mergeCell ref="D37:E37"/>
    <mergeCell ref="F37:G37"/>
    <mergeCell ref="H37:I37"/>
    <mergeCell ref="J37:K37"/>
  </mergeCells>
  <pageMargins left="0.70866141732283472" right="0.70866141732283472" top="0.74803149606299213" bottom="0.74803149606299213" header="0.31496062992125984" footer="0.31496062992125984"/>
  <pageSetup paperSize="9" scale="51" fitToHeight="3" orientation="portrait" horizontalDpi="4294967293" verticalDpi="0" r:id="rId1"/>
  <ignoredErrors>
    <ignoredError sqref="C4:N34 C39:N6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52"/>
  <sheetViews>
    <sheetView workbookViewId="0">
      <selection activeCell="A2" sqref="A2"/>
    </sheetView>
  </sheetViews>
  <sheetFormatPr defaultRowHeight="14.4" x14ac:dyDescent="0.3"/>
  <cols>
    <col min="1" max="1" width="30.5546875" bestFit="1" customWidth="1"/>
    <col min="2" max="2" width="10.33203125" bestFit="1" customWidth="1"/>
    <col min="3" max="3" width="10.5546875" style="17" bestFit="1" customWidth="1"/>
    <col min="4" max="4" width="11" bestFit="1" customWidth="1"/>
    <col min="5" max="5" width="12.33203125" bestFit="1" customWidth="1"/>
  </cols>
  <sheetData>
    <row r="1" spans="1:5" x14ac:dyDescent="0.3">
      <c r="A1" t="s">
        <v>575</v>
      </c>
      <c r="B1" t="s">
        <v>576</v>
      </c>
      <c r="C1" s="17" t="s">
        <v>577</v>
      </c>
      <c r="D1" t="s">
        <v>573</v>
      </c>
      <c r="E1" t="s">
        <v>574</v>
      </c>
    </row>
    <row r="2" spans="1:5" x14ac:dyDescent="0.3">
      <c r="A2" t="s">
        <v>579</v>
      </c>
      <c r="B2" s="17">
        <v>44562</v>
      </c>
      <c r="C2" s="17">
        <v>44562</v>
      </c>
      <c r="D2" t="s">
        <v>580</v>
      </c>
      <c r="E2" t="s">
        <v>0</v>
      </c>
    </row>
    <row r="3" spans="1:5" x14ac:dyDescent="0.3">
      <c r="A3" t="s">
        <v>581</v>
      </c>
      <c r="B3" s="17">
        <v>44563</v>
      </c>
      <c r="C3" s="17">
        <v>44563</v>
      </c>
      <c r="D3" t="s">
        <v>582</v>
      </c>
      <c r="E3" t="s">
        <v>1</v>
      </c>
    </row>
    <row r="4" spans="1:5" x14ac:dyDescent="0.3">
      <c r="A4" t="s">
        <v>583</v>
      </c>
      <c r="B4" s="17">
        <v>44564</v>
      </c>
      <c r="C4" s="17">
        <v>44564</v>
      </c>
      <c r="D4" t="s">
        <v>584</v>
      </c>
      <c r="E4" t="s">
        <v>2</v>
      </c>
    </row>
    <row r="5" spans="1:5" x14ac:dyDescent="0.3">
      <c r="A5" t="s">
        <v>585</v>
      </c>
      <c r="B5" s="17">
        <v>44565</v>
      </c>
      <c r="C5" s="17">
        <v>44565</v>
      </c>
      <c r="D5" t="s">
        <v>586</v>
      </c>
      <c r="E5" t="s">
        <v>3</v>
      </c>
    </row>
    <row r="6" spans="1:5" x14ac:dyDescent="0.3">
      <c r="A6" t="s">
        <v>587</v>
      </c>
      <c r="B6" s="17">
        <v>44566</v>
      </c>
      <c r="C6" s="17">
        <v>44566</v>
      </c>
      <c r="D6" t="s">
        <v>588</v>
      </c>
      <c r="E6" t="s">
        <v>4</v>
      </c>
    </row>
    <row r="7" spans="1:5" x14ac:dyDescent="0.3">
      <c r="A7" t="s">
        <v>589</v>
      </c>
      <c r="B7" s="17">
        <v>44567</v>
      </c>
      <c r="C7" s="17">
        <v>44567</v>
      </c>
      <c r="D7" t="s">
        <v>590</v>
      </c>
      <c r="E7" t="s">
        <v>5</v>
      </c>
    </row>
    <row r="8" spans="1:5" x14ac:dyDescent="0.3">
      <c r="A8" t="s">
        <v>591</v>
      </c>
      <c r="B8" s="17">
        <v>44568</v>
      </c>
      <c r="C8" s="17">
        <v>44568</v>
      </c>
      <c r="D8" t="s">
        <v>592</v>
      </c>
      <c r="E8" t="s">
        <v>6</v>
      </c>
    </row>
    <row r="9" spans="1:5" x14ac:dyDescent="0.3">
      <c r="A9" t="s">
        <v>593</v>
      </c>
      <c r="B9" s="17">
        <v>44569</v>
      </c>
      <c r="C9" s="17">
        <v>44569</v>
      </c>
      <c r="D9" t="s">
        <v>594</v>
      </c>
      <c r="E9" t="s">
        <v>7</v>
      </c>
    </row>
    <row r="10" spans="1:5" x14ac:dyDescent="0.3">
      <c r="A10" t="s">
        <v>595</v>
      </c>
      <c r="B10" s="17">
        <v>44570</v>
      </c>
      <c r="C10" s="17">
        <v>44570</v>
      </c>
      <c r="D10" t="s">
        <v>596</v>
      </c>
      <c r="E10" t="s">
        <v>8</v>
      </c>
    </row>
    <row r="11" spans="1:5" x14ac:dyDescent="0.3">
      <c r="A11" t="s">
        <v>597</v>
      </c>
      <c r="B11" s="17">
        <v>44571</v>
      </c>
      <c r="C11" s="17">
        <v>44571</v>
      </c>
      <c r="D11" t="s">
        <v>598</v>
      </c>
      <c r="E11" t="s">
        <v>9</v>
      </c>
    </row>
    <row r="12" spans="1:5" x14ac:dyDescent="0.3">
      <c r="A12" t="s">
        <v>599</v>
      </c>
      <c r="B12" s="17">
        <v>44572</v>
      </c>
      <c r="C12" s="17">
        <v>44572</v>
      </c>
      <c r="D12" t="s">
        <v>600</v>
      </c>
      <c r="E12" t="s">
        <v>10</v>
      </c>
    </row>
    <row r="13" spans="1:5" x14ac:dyDescent="0.3">
      <c r="A13" t="s">
        <v>601</v>
      </c>
      <c r="B13" s="17">
        <v>44573</v>
      </c>
      <c r="C13" s="17">
        <v>44573</v>
      </c>
      <c r="D13" t="s">
        <v>602</v>
      </c>
      <c r="E13" t="s">
        <v>11</v>
      </c>
    </row>
    <row r="14" spans="1:5" x14ac:dyDescent="0.3">
      <c r="A14" t="s">
        <v>603</v>
      </c>
      <c r="B14" s="17">
        <v>44574</v>
      </c>
      <c r="C14" s="17">
        <v>44574</v>
      </c>
      <c r="D14" t="s">
        <v>604</v>
      </c>
      <c r="E14" t="s">
        <v>12</v>
      </c>
    </row>
    <row r="15" spans="1:5" x14ac:dyDescent="0.3">
      <c r="A15" t="s">
        <v>605</v>
      </c>
      <c r="B15" s="17">
        <v>44575</v>
      </c>
      <c r="C15" s="17">
        <v>44575</v>
      </c>
      <c r="D15" t="s">
        <v>606</v>
      </c>
      <c r="E15" t="s">
        <v>13</v>
      </c>
    </row>
    <row r="16" spans="1:5" x14ac:dyDescent="0.3">
      <c r="A16" t="s">
        <v>607</v>
      </c>
      <c r="B16" s="17">
        <v>44576</v>
      </c>
      <c r="C16" s="17">
        <v>44576</v>
      </c>
      <c r="D16" t="s">
        <v>608</v>
      </c>
      <c r="E16" t="s">
        <v>14</v>
      </c>
    </row>
    <row r="17" spans="1:5" x14ac:dyDescent="0.3">
      <c r="A17" t="s">
        <v>609</v>
      </c>
      <c r="B17" s="17">
        <v>44577</v>
      </c>
      <c r="C17" s="17">
        <v>44577</v>
      </c>
      <c r="D17" t="s">
        <v>610</v>
      </c>
      <c r="E17" t="s">
        <v>15</v>
      </c>
    </row>
    <row r="18" spans="1:5" x14ac:dyDescent="0.3">
      <c r="A18" t="s">
        <v>611</v>
      </c>
      <c r="B18" s="17">
        <v>44578</v>
      </c>
      <c r="C18" s="17">
        <v>44578</v>
      </c>
      <c r="D18" t="s">
        <v>612</v>
      </c>
      <c r="E18" t="s">
        <v>16</v>
      </c>
    </row>
    <row r="19" spans="1:5" x14ac:dyDescent="0.3">
      <c r="A19" t="s">
        <v>613</v>
      </c>
      <c r="B19" s="17">
        <v>44579</v>
      </c>
      <c r="C19" s="17">
        <v>44579</v>
      </c>
      <c r="D19" t="s">
        <v>614</v>
      </c>
      <c r="E19" t="s">
        <v>17</v>
      </c>
    </row>
    <row r="20" spans="1:5" x14ac:dyDescent="0.3">
      <c r="A20" t="s">
        <v>615</v>
      </c>
      <c r="B20" s="17">
        <v>44580</v>
      </c>
      <c r="C20" s="17">
        <v>44580</v>
      </c>
      <c r="D20" t="s">
        <v>616</v>
      </c>
      <c r="E20" t="s">
        <v>18</v>
      </c>
    </row>
    <row r="21" spans="1:5" x14ac:dyDescent="0.3">
      <c r="A21" t="s">
        <v>617</v>
      </c>
      <c r="B21" s="17">
        <v>44581</v>
      </c>
      <c r="C21" s="17">
        <v>44581</v>
      </c>
      <c r="D21" t="s">
        <v>618</v>
      </c>
      <c r="E21" t="s">
        <v>19</v>
      </c>
    </row>
    <row r="22" spans="1:5" x14ac:dyDescent="0.3">
      <c r="A22" t="s">
        <v>619</v>
      </c>
      <c r="B22" s="17">
        <v>44582</v>
      </c>
      <c r="C22" s="17">
        <v>44582</v>
      </c>
      <c r="D22" t="s">
        <v>620</v>
      </c>
      <c r="E22" t="s">
        <v>20</v>
      </c>
    </row>
    <row r="23" spans="1:5" x14ac:dyDescent="0.3">
      <c r="A23" t="s">
        <v>621</v>
      </c>
      <c r="B23" s="17">
        <v>44583</v>
      </c>
      <c r="C23" s="17">
        <v>44583</v>
      </c>
      <c r="D23" t="s">
        <v>622</v>
      </c>
      <c r="E23" t="s">
        <v>21</v>
      </c>
    </row>
    <row r="24" spans="1:5" x14ac:dyDescent="0.3">
      <c r="A24" t="s">
        <v>623</v>
      </c>
      <c r="B24" s="17">
        <v>44584</v>
      </c>
      <c r="C24" s="17">
        <v>44584</v>
      </c>
      <c r="D24" t="s">
        <v>624</v>
      </c>
      <c r="E24" t="s">
        <v>22</v>
      </c>
    </row>
    <row r="25" spans="1:5" x14ac:dyDescent="0.3">
      <c r="A25" t="s">
        <v>625</v>
      </c>
      <c r="B25" s="17">
        <v>44585</v>
      </c>
      <c r="C25" s="17">
        <v>44585</v>
      </c>
      <c r="D25" t="s">
        <v>626</v>
      </c>
      <c r="E25" t="s">
        <v>23</v>
      </c>
    </row>
    <row r="26" spans="1:5" x14ac:dyDescent="0.3">
      <c r="A26" t="s">
        <v>627</v>
      </c>
      <c r="B26" s="17">
        <v>44586</v>
      </c>
      <c r="C26" s="17">
        <v>44586</v>
      </c>
      <c r="D26" t="s">
        <v>628</v>
      </c>
      <c r="E26" t="s">
        <v>24</v>
      </c>
    </row>
    <row r="27" spans="1:5" x14ac:dyDescent="0.3">
      <c r="A27" t="s">
        <v>629</v>
      </c>
      <c r="B27" s="17">
        <v>44587</v>
      </c>
      <c r="C27" s="17">
        <v>44587</v>
      </c>
      <c r="D27" t="s">
        <v>630</v>
      </c>
      <c r="E27" t="s">
        <v>25</v>
      </c>
    </row>
    <row r="28" spans="1:5" x14ac:dyDescent="0.3">
      <c r="A28" t="s">
        <v>631</v>
      </c>
      <c r="B28" s="17">
        <v>44588</v>
      </c>
      <c r="C28" s="17">
        <v>44588</v>
      </c>
      <c r="D28" t="s">
        <v>632</v>
      </c>
      <c r="E28" t="s">
        <v>26</v>
      </c>
    </row>
    <row r="29" spans="1:5" x14ac:dyDescent="0.3">
      <c r="A29" t="s">
        <v>633</v>
      </c>
      <c r="B29" s="17">
        <v>44589</v>
      </c>
      <c r="C29" s="17">
        <v>44589</v>
      </c>
      <c r="D29" t="s">
        <v>634</v>
      </c>
      <c r="E29" t="s">
        <v>27</v>
      </c>
    </row>
    <row r="30" spans="1:5" x14ac:dyDescent="0.3">
      <c r="A30" t="s">
        <v>635</v>
      </c>
      <c r="B30" s="17">
        <v>44590</v>
      </c>
      <c r="C30" s="17">
        <v>44590</v>
      </c>
      <c r="D30" t="s">
        <v>636</v>
      </c>
      <c r="E30" t="s">
        <v>28</v>
      </c>
    </row>
    <row r="31" spans="1:5" x14ac:dyDescent="0.3">
      <c r="A31" t="s">
        <v>637</v>
      </c>
      <c r="B31" s="17">
        <v>44591</v>
      </c>
      <c r="C31" s="17">
        <v>44591</v>
      </c>
      <c r="D31" t="s">
        <v>638</v>
      </c>
      <c r="E31" t="s">
        <v>29</v>
      </c>
    </row>
    <row r="32" spans="1:5" x14ac:dyDescent="0.3">
      <c r="A32" t="s">
        <v>639</v>
      </c>
      <c r="B32" s="17">
        <v>44592</v>
      </c>
      <c r="C32" s="17">
        <v>44592</v>
      </c>
      <c r="D32" t="s">
        <v>640</v>
      </c>
      <c r="E32" t="s">
        <v>30</v>
      </c>
    </row>
    <row r="33" spans="1:5" x14ac:dyDescent="0.3">
      <c r="A33" t="s">
        <v>641</v>
      </c>
      <c r="B33" s="17">
        <v>44593</v>
      </c>
      <c r="C33" s="17">
        <v>44593</v>
      </c>
      <c r="D33" t="s">
        <v>642</v>
      </c>
      <c r="E33" t="s">
        <v>31</v>
      </c>
    </row>
    <row r="34" spans="1:5" x14ac:dyDescent="0.3">
      <c r="A34" t="s">
        <v>643</v>
      </c>
      <c r="B34" s="17">
        <v>44594</v>
      </c>
      <c r="C34" s="17">
        <v>44594</v>
      </c>
      <c r="D34" t="s">
        <v>644</v>
      </c>
      <c r="E34" t="s">
        <v>32</v>
      </c>
    </row>
    <row r="35" spans="1:5" x14ac:dyDescent="0.3">
      <c r="A35" t="s">
        <v>645</v>
      </c>
      <c r="B35" s="17">
        <v>44595</v>
      </c>
      <c r="C35" s="17">
        <v>44595</v>
      </c>
      <c r="D35" t="s">
        <v>646</v>
      </c>
      <c r="E35" t="s">
        <v>33</v>
      </c>
    </row>
    <row r="36" spans="1:5" x14ac:dyDescent="0.3">
      <c r="A36" t="s">
        <v>647</v>
      </c>
      <c r="B36" s="17">
        <v>44596</v>
      </c>
      <c r="C36" s="17">
        <v>44596</v>
      </c>
      <c r="D36" t="s">
        <v>648</v>
      </c>
      <c r="E36" t="s">
        <v>34</v>
      </c>
    </row>
    <row r="37" spans="1:5" x14ac:dyDescent="0.3">
      <c r="A37" t="s">
        <v>649</v>
      </c>
      <c r="B37" s="17">
        <v>44597</v>
      </c>
      <c r="C37" s="17">
        <v>44597</v>
      </c>
      <c r="D37" t="s">
        <v>650</v>
      </c>
      <c r="E37" t="s">
        <v>35</v>
      </c>
    </row>
    <row r="38" spans="1:5" x14ac:dyDescent="0.3">
      <c r="A38" t="s">
        <v>651</v>
      </c>
      <c r="B38" s="17">
        <v>44598</v>
      </c>
      <c r="C38" s="17">
        <v>44598</v>
      </c>
      <c r="D38" t="s">
        <v>652</v>
      </c>
      <c r="E38" t="s">
        <v>36</v>
      </c>
    </row>
    <row r="39" spans="1:5" x14ac:dyDescent="0.3">
      <c r="A39" t="s">
        <v>653</v>
      </c>
      <c r="B39" s="17">
        <v>44599</v>
      </c>
      <c r="C39" s="17">
        <v>44599</v>
      </c>
      <c r="D39" t="s">
        <v>654</v>
      </c>
      <c r="E39" t="s">
        <v>37</v>
      </c>
    </row>
    <row r="40" spans="1:5" x14ac:dyDescent="0.3">
      <c r="A40" t="s">
        <v>655</v>
      </c>
      <c r="B40" s="17">
        <v>44600</v>
      </c>
      <c r="C40" s="17">
        <v>44600</v>
      </c>
      <c r="D40" t="s">
        <v>656</v>
      </c>
      <c r="E40" t="s">
        <v>38</v>
      </c>
    </row>
    <row r="41" spans="1:5" x14ac:dyDescent="0.3">
      <c r="A41" t="s">
        <v>657</v>
      </c>
      <c r="B41" s="17">
        <v>44601</v>
      </c>
      <c r="C41" s="17">
        <v>44601</v>
      </c>
      <c r="D41" t="s">
        <v>658</v>
      </c>
      <c r="E41" t="s">
        <v>39</v>
      </c>
    </row>
    <row r="42" spans="1:5" x14ac:dyDescent="0.3">
      <c r="A42" t="s">
        <v>659</v>
      </c>
      <c r="B42" s="17">
        <v>44602</v>
      </c>
      <c r="C42" s="17">
        <v>44602</v>
      </c>
      <c r="D42" t="s">
        <v>660</v>
      </c>
      <c r="E42" t="s">
        <v>40</v>
      </c>
    </row>
    <row r="43" spans="1:5" x14ac:dyDescent="0.3">
      <c r="A43" t="s">
        <v>661</v>
      </c>
      <c r="B43" s="17">
        <v>44603</v>
      </c>
      <c r="C43" s="17">
        <v>44603</v>
      </c>
      <c r="D43" t="s">
        <v>662</v>
      </c>
      <c r="E43" t="s">
        <v>41</v>
      </c>
    </row>
    <row r="44" spans="1:5" x14ac:dyDescent="0.3">
      <c r="A44" t="s">
        <v>663</v>
      </c>
      <c r="B44" s="17">
        <v>44604</v>
      </c>
      <c r="C44" s="17">
        <v>44604</v>
      </c>
      <c r="D44" t="s">
        <v>660</v>
      </c>
      <c r="E44" t="s">
        <v>42</v>
      </c>
    </row>
    <row r="45" spans="1:5" x14ac:dyDescent="0.3">
      <c r="A45" t="s">
        <v>664</v>
      </c>
      <c r="B45" s="17">
        <v>44605</v>
      </c>
      <c r="C45" s="17">
        <v>44605</v>
      </c>
      <c r="D45" t="s">
        <v>658</v>
      </c>
      <c r="E45" t="s">
        <v>43</v>
      </c>
    </row>
    <row r="46" spans="1:5" x14ac:dyDescent="0.3">
      <c r="A46" t="s">
        <v>665</v>
      </c>
      <c r="B46" s="17">
        <v>44606</v>
      </c>
      <c r="C46" s="17">
        <v>44606</v>
      </c>
      <c r="D46" t="s">
        <v>666</v>
      </c>
      <c r="E46" t="s">
        <v>44</v>
      </c>
    </row>
    <row r="47" spans="1:5" x14ac:dyDescent="0.3">
      <c r="A47" t="s">
        <v>667</v>
      </c>
      <c r="B47" s="17">
        <v>44607</v>
      </c>
      <c r="C47" s="17">
        <v>44607</v>
      </c>
      <c r="D47" t="s">
        <v>668</v>
      </c>
      <c r="E47" t="s">
        <v>45</v>
      </c>
    </row>
    <row r="48" spans="1:5" x14ac:dyDescent="0.3">
      <c r="A48" t="s">
        <v>669</v>
      </c>
      <c r="B48" s="17">
        <v>44608</v>
      </c>
      <c r="C48" s="17">
        <v>44608</v>
      </c>
      <c r="D48" t="s">
        <v>652</v>
      </c>
      <c r="E48" t="s">
        <v>46</v>
      </c>
    </row>
    <row r="49" spans="1:5" x14ac:dyDescent="0.3">
      <c r="A49" t="s">
        <v>670</v>
      </c>
      <c r="B49" s="17">
        <v>44609</v>
      </c>
      <c r="C49" s="17">
        <v>44609</v>
      </c>
      <c r="D49" t="s">
        <v>650</v>
      </c>
      <c r="E49" t="s">
        <v>47</v>
      </c>
    </row>
    <row r="50" spans="1:5" x14ac:dyDescent="0.3">
      <c r="A50" t="s">
        <v>671</v>
      </c>
      <c r="B50" s="17">
        <v>44610</v>
      </c>
      <c r="C50" s="17">
        <v>44610</v>
      </c>
      <c r="D50" t="s">
        <v>648</v>
      </c>
      <c r="E50" t="s">
        <v>48</v>
      </c>
    </row>
    <row r="51" spans="1:5" x14ac:dyDescent="0.3">
      <c r="A51" t="s">
        <v>672</v>
      </c>
      <c r="B51" s="17">
        <v>44611</v>
      </c>
      <c r="C51" s="17">
        <v>44611</v>
      </c>
      <c r="D51" t="s">
        <v>646</v>
      </c>
      <c r="E51" t="s">
        <v>49</v>
      </c>
    </row>
    <row r="52" spans="1:5" x14ac:dyDescent="0.3">
      <c r="A52" t="s">
        <v>673</v>
      </c>
      <c r="B52" s="17">
        <v>44612</v>
      </c>
      <c r="C52" s="17">
        <v>44612</v>
      </c>
      <c r="D52" t="s">
        <v>674</v>
      </c>
      <c r="E52" t="s">
        <v>50</v>
      </c>
    </row>
    <row r="53" spans="1:5" x14ac:dyDescent="0.3">
      <c r="A53" t="s">
        <v>675</v>
      </c>
      <c r="B53" s="17">
        <v>44613</v>
      </c>
      <c r="C53" s="17">
        <v>44613</v>
      </c>
      <c r="D53" t="s">
        <v>676</v>
      </c>
      <c r="E53" t="s">
        <v>51</v>
      </c>
    </row>
    <row r="54" spans="1:5" x14ac:dyDescent="0.3">
      <c r="A54" t="s">
        <v>677</v>
      </c>
      <c r="B54" s="17">
        <v>44614</v>
      </c>
      <c r="C54" s="17">
        <v>44614</v>
      </c>
      <c r="D54" t="s">
        <v>678</v>
      </c>
      <c r="E54" t="s">
        <v>52</v>
      </c>
    </row>
    <row r="55" spans="1:5" x14ac:dyDescent="0.3">
      <c r="A55" t="s">
        <v>679</v>
      </c>
      <c r="B55" s="17">
        <v>44615</v>
      </c>
      <c r="C55" s="17">
        <v>44615</v>
      </c>
      <c r="D55" t="s">
        <v>680</v>
      </c>
      <c r="E55" t="s">
        <v>53</v>
      </c>
    </row>
    <row r="56" spans="1:5" x14ac:dyDescent="0.3">
      <c r="A56" t="s">
        <v>681</v>
      </c>
      <c r="B56" s="17">
        <v>44616</v>
      </c>
      <c r="C56" s="17">
        <v>44616</v>
      </c>
      <c r="D56" t="s">
        <v>682</v>
      </c>
      <c r="E56" t="s">
        <v>54</v>
      </c>
    </row>
    <row r="57" spans="1:5" x14ac:dyDescent="0.3">
      <c r="A57" t="s">
        <v>683</v>
      </c>
      <c r="B57" s="17">
        <v>44617</v>
      </c>
      <c r="C57" s="17">
        <v>44617</v>
      </c>
      <c r="D57" t="s">
        <v>684</v>
      </c>
      <c r="E57" t="s">
        <v>55</v>
      </c>
    </row>
    <row r="58" spans="1:5" x14ac:dyDescent="0.3">
      <c r="A58" t="s">
        <v>685</v>
      </c>
      <c r="B58" s="17">
        <v>44618</v>
      </c>
      <c r="C58" s="17">
        <v>44618</v>
      </c>
      <c r="D58" t="s">
        <v>686</v>
      </c>
      <c r="E58" t="s">
        <v>56</v>
      </c>
    </row>
    <row r="59" spans="1:5" x14ac:dyDescent="0.3">
      <c r="A59" t="s">
        <v>687</v>
      </c>
      <c r="B59" s="17">
        <v>44619</v>
      </c>
      <c r="C59" s="17">
        <v>44619</v>
      </c>
      <c r="D59" t="s">
        <v>688</v>
      </c>
      <c r="E59" t="s">
        <v>57</v>
      </c>
    </row>
    <row r="60" spans="1:5" x14ac:dyDescent="0.3">
      <c r="A60" t="s">
        <v>689</v>
      </c>
      <c r="B60" s="17">
        <v>44620</v>
      </c>
      <c r="C60" s="17">
        <v>44620</v>
      </c>
      <c r="D60" t="s">
        <v>630</v>
      </c>
      <c r="E60" t="s">
        <v>58</v>
      </c>
    </row>
    <row r="61" spans="1:5" x14ac:dyDescent="0.3">
      <c r="A61" t="s">
        <v>690</v>
      </c>
      <c r="B61" s="17">
        <v>44621</v>
      </c>
      <c r="C61" s="17">
        <v>44621</v>
      </c>
      <c r="D61" t="s">
        <v>691</v>
      </c>
      <c r="E61" t="s">
        <v>59</v>
      </c>
    </row>
    <row r="62" spans="1:5" x14ac:dyDescent="0.3">
      <c r="A62" t="s">
        <v>692</v>
      </c>
      <c r="B62" s="17">
        <v>44622</v>
      </c>
      <c r="C62" s="17">
        <v>44622</v>
      </c>
      <c r="D62" t="s">
        <v>693</v>
      </c>
      <c r="E62" t="s">
        <v>60</v>
      </c>
    </row>
    <row r="63" spans="1:5" x14ac:dyDescent="0.3">
      <c r="A63" t="s">
        <v>694</v>
      </c>
      <c r="B63" s="17">
        <v>44623</v>
      </c>
      <c r="C63" s="17">
        <v>44623</v>
      </c>
      <c r="D63" t="s">
        <v>695</v>
      </c>
      <c r="E63" t="s">
        <v>61</v>
      </c>
    </row>
    <row r="64" spans="1:5" x14ac:dyDescent="0.3">
      <c r="A64" t="s">
        <v>696</v>
      </c>
      <c r="B64" s="17">
        <v>44624</v>
      </c>
      <c r="C64" s="17">
        <v>44624</v>
      </c>
      <c r="D64" t="s">
        <v>697</v>
      </c>
      <c r="E64" t="s">
        <v>62</v>
      </c>
    </row>
    <row r="65" spans="1:5" x14ac:dyDescent="0.3">
      <c r="A65" t="s">
        <v>698</v>
      </c>
      <c r="B65" s="17">
        <v>44625</v>
      </c>
      <c r="C65" s="17">
        <v>44625</v>
      </c>
      <c r="D65" t="s">
        <v>699</v>
      </c>
      <c r="E65" t="s">
        <v>63</v>
      </c>
    </row>
    <row r="66" spans="1:5" x14ac:dyDescent="0.3">
      <c r="A66" t="s">
        <v>700</v>
      </c>
      <c r="B66" s="17">
        <v>44626</v>
      </c>
      <c r="C66" s="17">
        <v>44626</v>
      </c>
      <c r="D66" t="s">
        <v>701</v>
      </c>
      <c r="E66" t="s">
        <v>64</v>
      </c>
    </row>
    <row r="67" spans="1:5" x14ac:dyDescent="0.3">
      <c r="A67" t="s">
        <v>702</v>
      </c>
      <c r="B67" s="17">
        <v>44627</v>
      </c>
      <c r="C67" s="17">
        <v>44627</v>
      </c>
      <c r="D67" t="s">
        <v>703</v>
      </c>
      <c r="E67" t="s">
        <v>65</v>
      </c>
    </row>
    <row r="68" spans="1:5" x14ac:dyDescent="0.3">
      <c r="A68" t="s">
        <v>704</v>
      </c>
      <c r="B68" s="17">
        <v>44628</v>
      </c>
      <c r="C68" s="17">
        <v>44628</v>
      </c>
      <c r="D68" t="s">
        <v>705</v>
      </c>
      <c r="E68" t="s">
        <v>66</v>
      </c>
    </row>
    <row r="69" spans="1:5" x14ac:dyDescent="0.3">
      <c r="A69" t="s">
        <v>706</v>
      </c>
      <c r="B69" s="17">
        <v>44629</v>
      </c>
      <c r="C69" s="17">
        <v>44629</v>
      </c>
      <c r="D69" t="s">
        <v>707</v>
      </c>
      <c r="E69" t="s">
        <v>67</v>
      </c>
    </row>
    <row r="70" spans="1:5" x14ac:dyDescent="0.3">
      <c r="A70" t="s">
        <v>708</v>
      </c>
      <c r="B70" s="17">
        <v>44630</v>
      </c>
      <c r="C70" s="17">
        <v>44630</v>
      </c>
      <c r="D70" t="s">
        <v>709</v>
      </c>
      <c r="E70" t="s">
        <v>68</v>
      </c>
    </row>
    <row r="71" spans="1:5" x14ac:dyDescent="0.3">
      <c r="A71" t="s">
        <v>710</v>
      </c>
      <c r="B71" s="17">
        <v>44631</v>
      </c>
      <c r="C71" s="17">
        <v>44631</v>
      </c>
      <c r="D71" t="s">
        <v>711</v>
      </c>
      <c r="E71" t="s">
        <v>69</v>
      </c>
    </row>
    <row r="72" spans="1:5" x14ac:dyDescent="0.3">
      <c r="A72" t="s">
        <v>712</v>
      </c>
      <c r="B72" s="17">
        <v>44632</v>
      </c>
      <c r="C72" s="17">
        <v>44632</v>
      </c>
      <c r="D72" t="s">
        <v>610</v>
      </c>
      <c r="E72" t="s">
        <v>70</v>
      </c>
    </row>
    <row r="73" spans="1:5" x14ac:dyDescent="0.3">
      <c r="A73" t="s">
        <v>713</v>
      </c>
      <c r="B73" s="17">
        <v>44633</v>
      </c>
      <c r="C73" s="17">
        <v>44633</v>
      </c>
      <c r="D73" t="s">
        <v>714</v>
      </c>
      <c r="E73" t="s">
        <v>71</v>
      </c>
    </row>
    <row r="74" spans="1:5" x14ac:dyDescent="0.3">
      <c r="A74" t="s">
        <v>715</v>
      </c>
      <c r="B74" s="17">
        <v>44634</v>
      </c>
      <c r="C74" s="17">
        <v>44634</v>
      </c>
      <c r="D74" t="s">
        <v>716</v>
      </c>
      <c r="E74" t="s">
        <v>72</v>
      </c>
    </row>
    <row r="75" spans="1:5" x14ac:dyDescent="0.3">
      <c r="A75" t="s">
        <v>717</v>
      </c>
      <c r="B75" s="17">
        <v>44635</v>
      </c>
      <c r="C75" s="17">
        <v>44635</v>
      </c>
      <c r="D75" t="s">
        <v>718</v>
      </c>
      <c r="E75" t="s">
        <v>73</v>
      </c>
    </row>
    <row r="76" spans="1:5" x14ac:dyDescent="0.3">
      <c r="A76" t="s">
        <v>719</v>
      </c>
      <c r="B76" s="17">
        <v>44636</v>
      </c>
      <c r="C76" s="17">
        <v>44636</v>
      </c>
      <c r="D76" t="s">
        <v>720</v>
      </c>
      <c r="E76" t="s">
        <v>74</v>
      </c>
    </row>
    <row r="77" spans="1:5" x14ac:dyDescent="0.3">
      <c r="A77" t="s">
        <v>721</v>
      </c>
      <c r="B77" s="17">
        <v>44637</v>
      </c>
      <c r="C77" s="17">
        <v>44637</v>
      </c>
      <c r="D77" t="s">
        <v>722</v>
      </c>
      <c r="E77" t="s">
        <v>75</v>
      </c>
    </row>
    <row r="78" spans="1:5" x14ac:dyDescent="0.3">
      <c r="A78" t="s">
        <v>723</v>
      </c>
      <c r="B78" s="17">
        <v>44638</v>
      </c>
      <c r="C78" s="17">
        <v>44638</v>
      </c>
      <c r="D78" t="s">
        <v>724</v>
      </c>
      <c r="E78" t="s">
        <v>76</v>
      </c>
    </row>
    <row r="79" spans="1:5" x14ac:dyDescent="0.3">
      <c r="A79" t="s">
        <v>725</v>
      </c>
      <c r="B79" s="17">
        <v>44639</v>
      </c>
      <c r="C79" s="17">
        <v>44639</v>
      </c>
      <c r="D79" t="s">
        <v>726</v>
      </c>
      <c r="E79" t="s">
        <v>77</v>
      </c>
    </row>
    <row r="80" spans="1:5" x14ac:dyDescent="0.3">
      <c r="A80" t="s">
        <v>727</v>
      </c>
      <c r="B80" s="17">
        <v>44640</v>
      </c>
      <c r="C80" s="17">
        <v>44640</v>
      </c>
      <c r="D80" t="s">
        <v>728</v>
      </c>
      <c r="E80" t="s">
        <v>78</v>
      </c>
    </row>
    <row r="81" spans="1:5" x14ac:dyDescent="0.3">
      <c r="A81" t="s">
        <v>729</v>
      </c>
      <c r="B81" s="17">
        <v>44641</v>
      </c>
      <c r="C81" s="17">
        <v>44641</v>
      </c>
      <c r="D81" t="s">
        <v>730</v>
      </c>
      <c r="E81" t="s">
        <v>79</v>
      </c>
    </row>
    <row r="82" spans="1:5" x14ac:dyDescent="0.3">
      <c r="A82" t="s">
        <v>731</v>
      </c>
      <c r="B82" s="17">
        <v>44642</v>
      </c>
      <c r="C82" s="17">
        <v>44642</v>
      </c>
      <c r="D82" t="s">
        <v>732</v>
      </c>
      <c r="E82" t="s">
        <v>80</v>
      </c>
    </row>
    <row r="83" spans="1:5" x14ac:dyDescent="0.3">
      <c r="A83" t="s">
        <v>733</v>
      </c>
      <c r="B83" s="17">
        <v>44643</v>
      </c>
      <c r="C83" s="17">
        <v>44643</v>
      </c>
      <c r="D83" t="s">
        <v>734</v>
      </c>
      <c r="E83" t="s">
        <v>81</v>
      </c>
    </row>
    <row r="84" spans="1:5" x14ac:dyDescent="0.3">
      <c r="A84" t="s">
        <v>735</v>
      </c>
      <c r="B84" s="17">
        <v>44644</v>
      </c>
      <c r="C84" s="17">
        <v>44644</v>
      </c>
      <c r="D84" t="s">
        <v>592</v>
      </c>
      <c r="E84" t="s">
        <v>82</v>
      </c>
    </row>
    <row r="85" spans="1:5" x14ac:dyDescent="0.3">
      <c r="A85" t="s">
        <v>736</v>
      </c>
      <c r="B85" s="17">
        <v>44645</v>
      </c>
      <c r="C85" s="17">
        <v>44645</v>
      </c>
      <c r="D85" t="s">
        <v>737</v>
      </c>
      <c r="E85" t="s">
        <v>83</v>
      </c>
    </row>
    <row r="86" spans="1:5" x14ac:dyDescent="0.3">
      <c r="A86" t="s">
        <v>738</v>
      </c>
      <c r="B86" s="17">
        <v>44646</v>
      </c>
      <c r="C86" s="17">
        <v>44646</v>
      </c>
      <c r="D86" t="s">
        <v>739</v>
      </c>
      <c r="E86" t="s">
        <v>84</v>
      </c>
    </row>
    <row r="87" spans="1:5" x14ac:dyDescent="0.3">
      <c r="A87" t="s">
        <v>740</v>
      </c>
      <c r="B87" s="17">
        <v>44647</v>
      </c>
      <c r="C87" s="17">
        <v>44647</v>
      </c>
      <c r="D87" t="s">
        <v>741</v>
      </c>
      <c r="E87" t="s">
        <v>742</v>
      </c>
    </row>
    <row r="88" spans="1:5" x14ac:dyDescent="0.3">
      <c r="A88" t="s">
        <v>743</v>
      </c>
      <c r="B88" s="17">
        <v>44648</v>
      </c>
      <c r="C88" s="17">
        <v>44648</v>
      </c>
      <c r="D88" t="s">
        <v>744</v>
      </c>
      <c r="E88" t="s">
        <v>85</v>
      </c>
    </row>
    <row r="89" spans="1:5" x14ac:dyDescent="0.3">
      <c r="A89" t="s">
        <v>745</v>
      </c>
      <c r="B89" s="17">
        <v>44649</v>
      </c>
      <c r="C89" s="17">
        <v>44649</v>
      </c>
      <c r="D89" t="s">
        <v>746</v>
      </c>
      <c r="E89" t="s">
        <v>86</v>
      </c>
    </row>
    <row r="90" spans="1:5" x14ac:dyDescent="0.3">
      <c r="A90" t="s">
        <v>747</v>
      </c>
      <c r="B90" s="17">
        <v>44650</v>
      </c>
      <c r="C90" s="17">
        <v>44650</v>
      </c>
      <c r="D90" t="s">
        <v>584</v>
      </c>
      <c r="E90" t="s">
        <v>87</v>
      </c>
    </row>
    <row r="91" spans="1:5" x14ac:dyDescent="0.3">
      <c r="A91" t="s">
        <v>748</v>
      </c>
      <c r="B91" s="17">
        <v>44651</v>
      </c>
      <c r="C91" s="17">
        <v>44651</v>
      </c>
      <c r="D91" t="s">
        <v>749</v>
      </c>
      <c r="E91" t="s">
        <v>88</v>
      </c>
    </row>
    <row r="92" spans="1:5" x14ac:dyDescent="0.3">
      <c r="A92" t="s">
        <v>750</v>
      </c>
      <c r="B92" s="17">
        <v>44652</v>
      </c>
      <c r="C92" s="17">
        <v>44652</v>
      </c>
      <c r="D92" t="s">
        <v>751</v>
      </c>
      <c r="E92" t="s">
        <v>89</v>
      </c>
    </row>
    <row r="93" spans="1:5" x14ac:dyDescent="0.3">
      <c r="A93" t="s">
        <v>752</v>
      </c>
      <c r="B93" s="17">
        <v>44653</v>
      </c>
      <c r="C93" s="17">
        <v>44653</v>
      </c>
      <c r="D93" t="s">
        <v>753</v>
      </c>
      <c r="E93" t="s">
        <v>90</v>
      </c>
    </row>
    <row r="94" spans="1:5" x14ac:dyDescent="0.3">
      <c r="A94" t="s">
        <v>754</v>
      </c>
      <c r="B94" s="17">
        <v>44654</v>
      </c>
      <c r="C94" s="17">
        <v>44654</v>
      </c>
      <c r="D94" t="s">
        <v>755</v>
      </c>
      <c r="E94" t="s">
        <v>91</v>
      </c>
    </row>
    <row r="95" spans="1:5" x14ac:dyDescent="0.3">
      <c r="A95" t="s">
        <v>756</v>
      </c>
      <c r="B95" s="17">
        <v>44655</v>
      </c>
      <c r="C95" s="17">
        <v>44655</v>
      </c>
      <c r="D95" t="s">
        <v>757</v>
      </c>
      <c r="E95" t="s">
        <v>92</v>
      </c>
    </row>
    <row r="96" spans="1:5" x14ac:dyDescent="0.3">
      <c r="A96" t="s">
        <v>758</v>
      </c>
      <c r="B96" s="17">
        <v>44656</v>
      </c>
      <c r="C96" s="17">
        <v>44656</v>
      </c>
      <c r="D96" t="s">
        <v>759</v>
      </c>
      <c r="E96" t="s">
        <v>93</v>
      </c>
    </row>
    <row r="97" spans="1:5" x14ac:dyDescent="0.3">
      <c r="A97" t="s">
        <v>760</v>
      </c>
      <c r="B97" s="17">
        <v>44657</v>
      </c>
      <c r="C97" s="17">
        <v>44657</v>
      </c>
      <c r="D97" t="s">
        <v>761</v>
      </c>
      <c r="E97" t="s">
        <v>94</v>
      </c>
    </row>
    <row r="98" spans="1:5" x14ac:dyDescent="0.3">
      <c r="A98" t="s">
        <v>762</v>
      </c>
      <c r="B98" s="17">
        <v>44658</v>
      </c>
      <c r="C98" s="17">
        <v>44658</v>
      </c>
      <c r="D98" t="s">
        <v>763</v>
      </c>
      <c r="E98" t="s">
        <v>95</v>
      </c>
    </row>
    <row r="99" spans="1:5" x14ac:dyDescent="0.3">
      <c r="A99" t="s">
        <v>764</v>
      </c>
      <c r="B99" s="17">
        <v>44659</v>
      </c>
      <c r="C99" s="17">
        <v>44659</v>
      </c>
      <c r="D99" t="s">
        <v>765</v>
      </c>
      <c r="E99" t="s">
        <v>96</v>
      </c>
    </row>
    <row r="100" spans="1:5" x14ac:dyDescent="0.3">
      <c r="A100" t="s">
        <v>766</v>
      </c>
      <c r="B100" s="17">
        <v>44660</v>
      </c>
      <c r="C100" s="17">
        <v>44660</v>
      </c>
      <c r="D100" t="s">
        <v>767</v>
      </c>
      <c r="E100" t="s">
        <v>97</v>
      </c>
    </row>
    <row r="101" spans="1:5" x14ac:dyDescent="0.3">
      <c r="A101" t="s">
        <v>768</v>
      </c>
      <c r="B101" s="17">
        <v>44661</v>
      </c>
      <c r="C101" s="17">
        <v>44661</v>
      </c>
      <c r="D101" t="s">
        <v>769</v>
      </c>
      <c r="E101" t="s">
        <v>98</v>
      </c>
    </row>
    <row r="102" spans="1:5" x14ac:dyDescent="0.3">
      <c r="A102" t="s">
        <v>770</v>
      </c>
      <c r="B102" s="17">
        <v>44662</v>
      </c>
      <c r="C102" s="17">
        <v>44662</v>
      </c>
      <c r="D102" t="s">
        <v>771</v>
      </c>
      <c r="E102" t="s">
        <v>772</v>
      </c>
    </row>
    <row r="103" spans="1:5" x14ac:dyDescent="0.3">
      <c r="A103" t="s">
        <v>773</v>
      </c>
      <c r="B103" s="17">
        <v>44663</v>
      </c>
      <c r="C103" s="17">
        <v>44663</v>
      </c>
      <c r="D103" t="s">
        <v>774</v>
      </c>
      <c r="E103" t="s">
        <v>99</v>
      </c>
    </row>
    <row r="104" spans="1:5" x14ac:dyDescent="0.3">
      <c r="A104" t="s">
        <v>775</v>
      </c>
      <c r="B104" s="17">
        <v>44664</v>
      </c>
      <c r="C104" s="17">
        <v>44664</v>
      </c>
      <c r="D104" t="s">
        <v>776</v>
      </c>
      <c r="E104" t="s">
        <v>100</v>
      </c>
    </row>
    <row r="105" spans="1:5" x14ac:dyDescent="0.3">
      <c r="A105" t="s">
        <v>777</v>
      </c>
      <c r="B105" s="17">
        <v>44665</v>
      </c>
      <c r="C105" s="17">
        <v>44665</v>
      </c>
      <c r="D105" t="s">
        <v>778</v>
      </c>
      <c r="E105" t="s">
        <v>101</v>
      </c>
    </row>
    <row r="106" spans="1:5" x14ac:dyDescent="0.3">
      <c r="A106" t="s">
        <v>779</v>
      </c>
      <c r="B106" s="17">
        <v>44666</v>
      </c>
      <c r="C106" s="17">
        <v>44666</v>
      </c>
      <c r="D106" t="s">
        <v>780</v>
      </c>
      <c r="E106" t="s">
        <v>102</v>
      </c>
    </row>
    <row r="107" spans="1:5" x14ac:dyDescent="0.3">
      <c r="A107" t="s">
        <v>781</v>
      </c>
      <c r="B107" s="17">
        <v>44667</v>
      </c>
      <c r="C107" s="17">
        <v>44667</v>
      </c>
      <c r="D107" t="s">
        <v>782</v>
      </c>
      <c r="E107" t="s">
        <v>103</v>
      </c>
    </row>
    <row r="108" spans="1:5" x14ac:dyDescent="0.3">
      <c r="A108" t="s">
        <v>783</v>
      </c>
      <c r="B108" s="17">
        <v>44668</v>
      </c>
      <c r="C108" s="17">
        <v>44668</v>
      </c>
      <c r="D108" t="s">
        <v>784</v>
      </c>
      <c r="E108" t="s">
        <v>104</v>
      </c>
    </row>
    <row r="109" spans="1:5" x14ac:dyDescent="0.3">
      <c r="A109" t="s">
        <v>785</v>
      </c>
      <c r="B109" s="17">
        <v>44669</v>
      </c>
      <c r="C109" s="17">
        <v>44669</v>
      </c>
      <c r="D109" t="s">
        <v>786</v>
      </c>
      <c r="E109" t="s">
        <v>105</v>
      </c>
    </row>
    <row r="110" spans="1:5" x14ac:dyDescent="0.3">
      <c r="A110" t="s">
        <v>787</v>
      </c>
      <c r="B110" s="17">
        <v>44670</v>
      </c>
      <c r="C110" s="17">
        <v>44670</v>
      </c>
      <c r="D110" t="s">
        <v>788</v>
      </c>
      <c r="E110" t="s">
        <v>106</v>
      </c>
    </row>
    <row r="111" spans="1:5" x14ac:dyDescent="0.3">
      <c r="A111" t="s">
        <v>789</v>
      </c>
      <c r="B111" s="17">
        <v>44671</v>
      </c>
      <c r="C111" s="17">
        <v>44671</v>
      </c>
      <c r="D111" t="s">
        <v>790</v>
      </c>
      <c r="E111" t="s">
        <v>107</v>
      </c>
    </row>
    <row r="112" spans="1:5" x14ac:dyDescent="0.3">
      <c r="A112" t="s">
        <v>791</v>
      </c>
      <c r="B112" s="17">
        <v>44672</v>
      </c>
      <c r="C112" s="17">
        <v>44672</v>
      </c>
      <c r="D112" t="s">
        <v>792</v>
      </c>
      <c r="E112" t="s">
        <v>108</v>
      </c>
    </row>
    <row r="113" spans="1:5" x14ac:dyDescent="0.3">
      <c r="A113" t="s">
        <v>793</v>
      </c>
      <c r="B113" s="17">
        <v>44673</v>
      </c>
      <c r="C113" s="17">
        <v>44673</v>
      </c>
      <c r="D113" t="s">
        <v>794</v>
      </c>
      <c r="E113" t="s">
        <v>109</v>
      </c>
    </row>
    <row r="114" spans="1:5" x14ac:dyDescent="0.3">
      <c r="A114" t="s">
        <v>795</v>
      </c>
      <c r="B114" s="17">
        <v>44674</v>
      </c>
      <c r="C114" s="17">
        <v>44674</v>
      </c>
      <c r="D114" t="s">
        <v>796</v>
      </c>
      <c r="E114" t="s">
        <v>110</v>
      </c>
    </row>
    <row r="115" spans="1:5" x14ac:dyDescent="0.3">
      <c r="A115" t="s">
        <v>797</v>
      </c>
      <c r="B115" s="17">
        <v>44675</v>
      </c>
      <c r="C115" s="17">
        <v>44675</v>
      </c>
      <c r="D115" t="s">
        <v>798</v>
      </c>
      <c r="E115" t="s">
        <v>111</v>
      </c>
    </row>
    <row r="116" spans="1:5" x14ac:dyDescent="0.3">
      <c r="A116" t="s">
        <v>799</v>
      </c>
      <c r="B116" s="17">
        <v>44676</v>
      </c>
      <c r="C116" s="17">
        <v>44676</v>
      </c>
      <c r="D116" t="s">
        <v>800</v>
      </c>
      <c r="E116" t="s">
        <v>112</v>
      </c>
    </row>
    <row r="117" spans="1:5" x14ac:dyDescent="0.3">
      <c r="A117" t="s">
        <v>801</v>
      </c>
      <c r="B117" s="17">
        <v>44677</v>
      </c>
      <c r="C117" s="17">
        <v>44677</v>
      </c>
      <c r="D117" t="s">
        <v>802</v>
      </c>
      <c r="E117" t="s">
        <v>113</v>
      </c>
    </row>
    <row r="118" spans="1:5" x14ac:dyDescent="0.3">
      <c r="A118" t="s">
        <v>803</v>
      </c>
      <c r="B118" s="17">
        <v>44678</v>
      </c>
      <c r="C118" s="17">
        <v>44678</v>
      </c>
      <c r="D118" t="s">
        <v>804</v>
      </c>
      <c r="E118" t="s">
        <v>114</v>
      </c>
    </row>
    <row r="119" spans="1:5" x14ac:dyDescent="0.3">
      <c r="A119" t="s">
        <v>805</v>
      </c>
      <c r="B119" s="17">
        <v>44679</v>
      </c>
      <c r="C119" s="17">
        <v>44679</v>
      </c>
      <c r="D119" t="s">
        <v>806</v>
      </c>
      <c r="E119" t="s">
        <v>115</v>
      </c>
    </row>
    <row r="120" spans="1:5" x14ac:dyDescent="0.3">
      <c r="A120" t="s">
        <v>807</v>
      </c>
      <c r="B120" s="17">
        <v>44680</v>
      </c>
      <c r="C120" s="17">
        <v>44680</v>
      </c>
      <c r="D120" t="s">
        <v>808</v>
      </c>
      <c r="E120" t="s">
        <v>116</v>
      </c>
    </row>
    <row r="121" spans="1:5" x14ac:dyDescent="0.3">
      <c r="A121" t="s">
        <v>809</v>
      </c>
      <c r="B121" s="17">
        <v>44681</v>
      </c>
      <c r="C121" s="17">
        <v>44681</v>
      </c>
      <c r="D121" t="s">
        <v>810</v>
      </c>
      <c r="E121" t="s">
        <v>117</v>
      </c>
    </row>
    <row r="122" spans="1:5" x14ac:dyDescent="0.3">
      <c r="A122" t="s">
        <v>811</v>
      </c>
      <c r="B122" s="17">
        <v>44682</v>
      </c>
      <c r="C122" s="17">
        <v>44682</v>
      </c>
      <c r="D122" t="s">
        <v>812</v>
      </c>
      <c r="E122" t="s">
        <v>118</v>
      </c>
    </row>
    <row r="123" spans="1:5" x14ac:dyDescent="0.3">
      <c r="A123" t="s">
        <v>813</v>
      </c>
      <c r="B123" s="17">
        <v>44683</v>
      </c>
      <c r="C123" s="17">
        <v>44683</v>
      </c>
      <c r="D123" t="s">
        <v>814</v>
      </c>
      <c r="E123" t="s">
        <v>119</v>
      </c>
    </row>
    <row r="124" spans="1:5" x14ac:dyDescent="0.3">
      <c r="A124" t="s">
        <v>815</v>
      </c>
      <c r="B124" s="17">
        <v>44684</v>
      </c>
      <c r="C124" s="17">
        <v>44684</v>
      </c>
      <c r="D124" t="s">
        <v>816</v>
      </c>
      <c r="E124" t="s">
        <v>120</v>
      </c>
    </row>
    <row r="125" spans="1:5" x14ac:dyDescent="0.3">
      <c r="A125" t="s">
        <v>817</v>
      </c>
      <c r="B125" s="17">
        <v>44685</v>
      </c>
      <c r="C125" s="17">
        <v>44685</v>
      </c>
      <c r="D125" t="s">
        <v>818</v>
      </c>
      <c r="E125" t="s">
        <v>121</v>
      </c>
    </row>
    <row r="126" spans="1:5" x14ac:dyDescent="0.3">
      <c r="A126" t="s">
        <v>819</v>
      </c>
      <c r="B126" s="17">
        <v>44686</v>
      </c>
      <c r="C126" s="17">
        <v>44686</v>
      </c>
      <c r="D126" t="s">
        <v>820</v>
      </c>
      <c r="E126" t="s">
        <v>122</v>
      </c>
    </row>
    <row r="127" spans="1:5" x14ac:dyDescent="0.3">
      <c r="A127" t="s">
        <v>821</v>
      </c>
      <c r="B127" s="17">
        <v>44687</v>
      </c>
      <c r="C127" s="17">
        <v>44687</v>
      </c>
      <c r="D127" t="s">
        <v>822</v>
      </c>
      <c r="E127" t="s">
        <v>123</v>
      </c>
    </row>
    <row r="128" spans="1:5" x14ac:dyDescent="0.3">
      <c r="A128" t="s">
        <v>823</v>
      </c>
      <c r="B128" s="17">
        <v>44688</v>
      </c>
      <c r="C128" s="17">
        <v>44688</v>
      </c>
      <c r="D128" t="s">
        <v>824</v>
      </c>
      <c r="E128" t="s">
        <v>124</v>
      </c>
    </row>
    <row r="129" spans="1:5" x14ac:dyDescent="0.3">
      <c r="A129" t="s">
        <v>825</v>
      </c>
      <c r="B129" s="17">
        <v>44689</v>
      </c>
      <c r="C129" s="17">
        <v>44689</v>
      </c>
      <c r="D129" t="s">
        <v>826</v>
      </c>
      <c r="E129" t="s">
        <v>827</v>
      </c>
    </row>
    <row r="130" spans="1:5" x14ac:dyDescent="0.3">
      <c r="A130" t="s">
        <v>828</v>
      </c>
      <c r="B130" s="17">
        <v>44690</v>
      </c>
      <c r="C130" s="17">
        <v>44690</v>
      </c>
      <c r="D130" t="s">
        <v>829</v>
      </c>
      <c r="E130" t="s">
        <v>125</v>
      </c>
    </row>
    <row r="131" spans="1:5" x14ac:dyDescent="0.3">
      <c r="A131" t="s">
        <v>830</v>
      </c>
      <c r="B131" s="17">
        <v>44691</v>
      </c>
      <c r="C131" s="17">
        <v>44691</v>
      </c>
      <c r="D131" t="s">
        <v>831</v>
      </c>
      <c r="E131" t="s">
        <v>126</v>
      </c>
    </row>
    <row r="132" spans="1:5" x14ac:dyDescent="0.3">
      <c r="A132" t="s">
        <v>832</v>
      </c>
      <c r="B132" s="17">
        <v>44692</v>
      </c>
      <c r="C132" s="17">
        <v>44692</v>
      </c>
      <c r="D132" t="s">
        <v>833</v>
      </c>
      <c r="E132" t="s">
        <v>127</v>
      </c>
    </row>
    <row r="133" spans="1:5" x14ac:dyDescent="0.3">
      <c r="A133" t="s">
        <v>834</v>
      </c>
      <c r="B133" s="17">
        <v>44693</v>
      </c>
      <c r="C133" s="17">
        <v>44693</v>
      </c>
      <c r="D133" t="s">
        <v>835</v>
      </c>
      <c r="E133" t="s">
        <v>128</v>
      </c>
    </row>
    <row r="134" spans="1:5" x14ac:dyDescent="0.3">
      <c r="A134" t="s">
        <v>836</v>
      </c>
      <c r="B134" s="17">
        <v>44694</v>
      </c>
      <c r="C134" s="17">
        <v>44694</v>
      </c>
      <c r="D134" t="s">
        <v>837</v>
      </c>
      <c r="E134" t="s">
        <v>129</v>
      </c>
    </row>
    <row r="135" spans="1:5" x14ac:dyDescent="0.3">
      <c r="A135" t="s">
        <v>838</v>
      </c>
      <c r="B135" s="17">
        <v>44695</v>
      </c>
      <c r="C135" s="17">
        <v>44695</v>
      </c>
      <c r="D135" t="s">
        <v>837</v>
      </c>
      <c r="E135" t="s">
        <v>130</v>
      </c>
    </row>
    <row r="136" spans="1:5" x14ac:dyDescent="0.3">
      <c r="A136" t="s">
        <v>839</v>
      </c>
      <c r="B136" s="17">
        <v>44696</v>
      </c>
      <c r="C136" s="17">
        <v>44696</v>
      </c>
      <c r="D136" t="s">
        <v>837</v>
      </c>
      <c r="E136" t="s">
        <v>131</v>
      </c>
    </row>
    <row r="137" spans="1:5" x14ac:dyDescent="0.3">
      <c r="A137" t="s">
        <v>840</v>
      </c>
      <c r="B137" s="17">
        <v>44697</v>
      </c>
      <c r="C137" s="17">
        <v>44697</v>
      </c>
      <c r="D137" t="s">
        <v>835</v>
      </c>
      <c r="E137" t="s">
        <v>132</v>
      </c>
    </row>
    <row r="138" spans="1:5" x14ac:dyDescent="0.3">
      <c r="A138" t="s">
        <v>841</v>
      </c>
      <c r="B138" s="17">
        <v>44698</v>
      </c>
      <c r="C138" s="17">
        <v>44698</v>
      </c>
      <c r="D138" t="s">
        <v>842</v>
      </c>
      <c r="E138" t="s">
        <v>133</v>
      </c>
    </row>
    <row r="139" spans="1:5" x14ac:dyDescent="0.3">
      <c r="A139" t="s">
        <v>843</v>
      </c>
      <c r="B139" s="17">
        <v>44699</v>
      </c>
      <c r="C139" s="17">
        <v>44699</v>
      </c>
      <c r="D139" t="s">
        <v>844</v>
      </c>
      <c r="E139" t="s">
        <v>134</v>
      </c>
    </row>
    <row r="140" spans="1:5" x14ac:dyDescent="0.3">
      <c r="A140" t="s">
        <v>845</v>
      </c>
      <c r="B140" s="17">
        <v>44700</v>
      </c>
      <c r="C140" s="17">
        <v>44700</v>
      </c>
      <c r="D140" t="s">
        <v>846</v>
      </c>
      <c r="E140" t="s">
        <v>135</v>
      </c>
    </row>
    <row r="141" spans="1:5" x14ac:dyDescent="0.3">
      <c r="A141" t="s">
        <v>847</v>
      </c>
      <c r="B141" s="17">
        <v>44701</v>
      </c>
      <c r="C141" s="17">
        <v>44701</v>
      </c>
      <c r="D141" t="s">
        <v>848</v>
      </c>
      <c r="E141" t="s">
        <v>136</v>
      </c>
    </row>
    <row r="142" spans="1:5" x14ac:dyDescent="0.3">
      <c r="A142" t="s">
        <v>849</v>
      </c>
      <c r="B142" s="17">
        <v>44702</v>
      </c>
      <c r="C142" s="17">
        <v>44702</v>
      </c>
      <c r="D142" t="s">
        <v>850</v>
      </c>
      <c r="E142" t="s">
        <v>137</v>
      </c>
    </row>
    <row r="143" spans="1:5" x14ac:dyDescent="0.3">
      <c r="A143" t="s">
        <v>851</v>
      </c>
      <c r="B143" s="17">
        <v>44703</v>
      </c>
      <c r="C143" s="17">
        <v>44703</v>
      </c>
      <c r="D143" t="s">
        <v>852</v>
      </c>
      <c r="E143" t="s">
        <v>138</v>
      </c>
    </row>
    <row r="144" spans="1:5" x14ac:dyDescent="0.3">
      <c r="A144" t="s">
        <v>853</v>
      </c>
      <c r="B144" s="17">
        <v>44704</v>
      </c>
      <c r="C144" s="17">
        <v>44704</v>
      </c>
      <c r="D144" t="s">
        <v>854</v>
      </c>
      <c r="E144" t="s">
        <v>139</v>
      </c>
    </row>
    <row r="145" spans="1:5" x14ac:dyDescent="0.3">
      <c r="A145" t="s">
        <v>855</v>
      </c>
      <c r="B145" s="17">
        <v>44705</v>
      </c>
      <c r="C145" s="17">
        <v>44705</v>
      </c>
      <c r="D145" t="s">
        <v>856</v>
      </c>
      <c r="E145" t="s">
        <v>140</v>
      </c>
    </row>
    <row r="146" spans="1:5" x14ac:dyDescent="0.3">
      <c r="A146" t="s">
        <v>857</v>
      </c>
      <c r="B146" s="17">
        <v>44706</v>
      </c>
      <c r="C146" s="17">
        <v>44706</v>
      </c>
      <c r="D146" t="s">
        <v>858</v>
      </c>
      <c r="E146" t="s">
        <v>141</v>
      </c>
    </row>
    <row r="147" spans="1:5" x14ac:dyDescent="0.3">
      <c r="A147" t="s">
        <v>859</v>
      </c>
      <c r="B147" s="17">
        <v>44707</v>
      </c>
      <c r="C147" s="17">
        <v>44707</v>
      </c>
      <c r="D147" t="s">
        <v>860</v>
      </c>
      <c r="E147" t="s">
        <v>142</v>
      </c>
    </row>
    <row r="148" spans="1:5" x14ac:dyDescent="0.3">
      <c r="A148" t="s">
        <v>861</v>
      </c>
      <c r="B148" s="17">
        <v>44708</v>
      </c>
      <c r="C148" s="17">
        <v>44708</v>
      </c>
      <c r="D148" t="s">
        <v>862</v>
      </c>
      <c r="E148" t="s">
        <v>143</v>
      </c>
    </row>
    <row r="149" spans="1:5" x14ac:dyDescent="0.3">
      <c r="A149" t="s">
        <v>863</v>
      </c>
      <c r="B149" s="17">
        <v>44709</v>
      </c>
      <c r="C149" s="17">
        <v>44709</v>
      </c>
      <c r="D149" t="s">
        <v>864</v>
      </c>
      <c r="E149" t="s">
        <v>144</v>
      </c>
    </row>
    <row r="150" spans="1:5" x14ac:dyDescent="0.3">
      <c r="A150" t="s">
        <v>865</v>
      </c>
      <c r="B150" s="17">
        <v>44710</v>
      </c>
      <c r="C150" s="17">
        <v>44710</v>
      </c>
      <c r="D150" t="s">
        <v>866</v>
      </c>
      <c r="E150" t="s">
        <v>145</v>
      </c>
    </row>
    <row r="151" spans="1:5" x14ac:dyDescent="0.3">
      <c r="A151" t="s">
        <v>867</v>
      </c>
      <c r="B151" s="17">
        <v>44711</v>
      </c>
      <c r="C151" s="17">
        <v>44711</v>
      </c>
      <c r="D151" t="s">
        <v>868</v>
      </c>
      <c r="E151" t="s">
        <v>146</v>
      </c>
    </row>
    <row r="152" spans="1:5" x14ac:dyDescent="0.3">
      <c r="A152" t="s">
        <v>869</v>
      </c>
      <c r="B152" s="17">
        <v>44712</v>
      </c>
      <c r="C152" s="17">
        <v>44712</v>
      </c>
      <c r="D152" t="s">
        <v>870</v>
      </c>
      <c r="E152" t="s">
        <v>147</v>
      </c>
    </row>
    <row r="153" spans="1:5" x14ac:dyDescent="0.3">
      <c r="A153" t="s">
        <v>871</v>
      </c>
      <c r="B153" s="17">
        <v>44713</v>
      </c>
      <c r="C153" s="17">
        <v>44713</v>
      </c>
      <c r="D153" t="s">
        <v>872</v>
      </c>
      <c r="E153" t="s">
        <v>148</v>
      </c>
    </row>
    <row r="154" spans="1:5" x14ac:dyDescent="0.3">
      <c r="A154" t="s">
        <v>873</v>
      </c>
      <c r="B154" s="17">
        <v>44714</v>
      </c>
      <c r="C154" s="17">
        <v>44714</v>
      </c>
      <c r="D154" t="s">
        <v>874</v>
      </c>
      <c r="E154" t="s">
        <v>149</v>
      </c>
    </row>
    <row r="155" spans="1:5" x14ac:dyDescent="0.3">
      <c r="A155" t="s">
        <v>875</v>
      </c>
      <c r="B155" s="17">
        <v>44715</v>
      </c>
      <c r="C155" s="17">
        <v>44715</v>
      </c>
      <c r="D155" t="s">
        <v>876</v>
      </c>
      <c r="E155" t="s">
        <v>150</v>
      </c>
    </row>
    <row r="156" spans="1:5" x14ac:dyDescent="0.3">
      <c r="A156" t="s">
        <v>877</v>
      </c>
      <c r="B156" s="17">
        <v>44716</v>
      </c>
      <c r="C156" s="17">
        <v>44716</v>
      </c>
      <c r="D156" t="s">
        <v>878</v>
      </c>
      <c r="E156" t="s">
        <v>151</v>
      </c>
    </row>
    <row r="157" spans="1:5" x14ac:dyDescent="0.3">
      <c r="A157" t="s">
        <v>879</v>
      </c>
      <c r="B157" s="17">
        <v>44717</v>
      </c>
      <c r="C157" s="17">
        <v>44717</v>
      </c>
      <c r="D157" t="s">
        <v>880</v>
      </c>
      <c r="E157" t="s">
        <v>152</v>
      </c>
    </row>
    <row r="158" spans="1:5" x14ac:dyDescent="0.3">
      <c r="A158" t="s">
        <v>881</v>
      </c>
      <c r="B158" s="17">
        <v>44718</v>
      </c>
      <c r="C158" s="17">
        <v>44718</v>
      </c>
      <c r="D158" t="s">
        <v>792</v>
      </c>
      <c r="E158" t="s">
        <v>153</v>
      </c>
    </row>
    <row r="159" spans="1:5" x14ac:dyDescent="0.3">
      <c r="A159" t="s">
        <v>882</v>
      </c>
      <c r="B159" s="17">
        <v>44719</v>
      </c>
      <c r="C159" s="17">
        <v>44719</v>
      </c>
      <c r="D159" t="s">
        <v>883</v>
      </c>
      <c r="E159" t="s">
        <v>154</v>
      </c>
    </row>
    <row r="160" spans="1:5" x14ac:dyDescent="0.3">
      <c r="A160" t="s">
        <v>884</v>
      </c>
      <c r="B160" s="17">
        <v>44720</v>
      </c>
      <c r="C160" s="17">
        <v>44720</v>
      </c>
      <c r="D160" t="s">
        <v>885</v>
      </c>
      <c r="E160" t="s">
        <v>155</v>
      </c>
    </row>
    <row r="161" spans="1:5" x14ac:dyDescent="0.3">
      <c r="A161" t="s">
        <v>886</v>
      </c>
      <c r="B161" s="17">
        <v>44721</v>
      </c>
      <c r="C161" s="17">
        <v>44721</v>
      </c>
      <c r="D161" t="s">
        <v>887</v>
      </c>
      <c r="E161" t="s">
        <v>156</v>
      </c>
    </row>
    <row r="162" spans="1:5" x14ac:dyDescent="0.3">
      <c r="A162" t="s">
        <v>888</v>
      </c>
      <c r="B162" s="17">
        <v>44722</v>
      </c>
      <c r="C162" s="17">
        <v>44722</v>
      </c>
      <c r="D162" t="s">
        <v>889</v>
      </c>
      <c r="E162" t="s">
        <v>157</v>
      </c>
    </row>
    <row r="163" spans="1:5" x14ac:dyDescent="0.3">
      <c r="A163" t="s">
        <v>890</v>
      </c>
      <c r="B163" s="17">
        <v>44723</v>
      </c>
      <c r="C163" s="17">
        <v>44723</v>
      </c>
      <c r="D163" t="s">
        <v>891</v>
      </c>
      <c r="E163" t="s">
        <v>158</v>
      </c>
    </row>
    <row r="164" spans="1:5" x14ac:dyDescent="0.3">
      <c r="A164" t="s">
        <v>892</v>
      </c>
      <c r="B164" s="17">
        <v>44724</v>
      </c>
      <c r="C164" s="17">
        <v>44724</v>
      </c>
      <c r="D164" t="s">
        <v>893</v>
      </c>
      <c r="E164" t="s">
        <v>159</v>
      </c>
    </row>
    <row r="165" spans="1:5" x14ac:dyDescent="0.3">
      <c r="A165" t="s">
        <v>894</v>
      </c>
      <c r="B165" s="17">
        <v>44725</v>
      </c>
      <c r="C165" s="17">
        <v>44725</v>
      </c>
      <c r="D165" t="s">
        <v>895</v>
      </c>
      <c r="E165" t="s">
        <v>160</v>
      </c>
    </row>
    <row r="166" spans="1:5" x14ac:dyDescent="0.3">
      <c r="A166" t="s">
        <v>896</v>
      </c>
      <c r="B166" s="17">
        <v>44726</v>
      </c>
      <c r="C166" s="17">
        <v>44726</v>
      </c>
      <c r="D166" t="s">
        <v>897</v>
      </c>
      <c r="E166" t="s">
        <v>161</v>
      </c>
    </row>
    <row r="167" spans="1:5" x14ac:dyDescent="0.3">
      <c r="A167" t="s">
        <v>898</v>
      </c>
      <c r="B167" s="17">
        <v>44727</v>
      </c>
      <c r="C167" s="17">
        <v>44727</v>
      </c>
      <c r="D167" t="s">
        <v>899</v>
      </c>
      <c r="E167" t="s">
        <v>162</v>
      </c>
    </row>
    <row r="168" spans="1:5" x14ac:dyDescent="0.3">
      <c r="A168" t="s">
        <v>900</v>
      </c>
      <c r="B168" s="17">
        <v>44728</v>
      </c>
      <c r="C168" s="17">
        <v>44728</v>
      </c>
      <c r="D168" t="s">
        <v>901</v>
      </c>
      <c r="E168" t="s">
        <v>163</v>
      </c>
    </row>
    <row r="169" spans="1:5" x14ac:dyDescent="0.3">
      <c r="A169" t="s">
        <v>902</v>
      </c>
      <c r="B169" s="17">
        <v>44729</v>
      </c>
      <c r="C169" s="17">
        <v>44729</v>
      </c>
      <c r="D169" t="s">
        <v>903</v>
      </c>
      <c r="E169" t="s">
        <v>164</v>
      </c>
    </row>
    <row r="170" spans="1:5" x14ac:dyDescent="0.3">
      <c r="A170" t="s">
        <v>904</v>
      </c>
      <c r="B170" s="17">
        <v>44730</v>
      </c>
      <c r="C170" s="17">
        <v>44730</v>
      </c>
      <c r="D170" t="s">
        <v>905</v>
      </c>
      <c r="E170" t="s">
        <v>165</v>
      </c>
    </row>
    <row r="171" spans="1:5" x14ac:dyDescent="0.3">
      <c r="A171" t="s">
        <v>906</v>
      </c>
      <c r="B171" s="17">
        <v>44731</v>
      </c>
      <c r="C171" s="17">
        <v>44731</v>
      </c>
      <c r="D171" t="s">
        <v>907</v>
      </c>
      <c r="E171" t="s">
        <v>166</v>
      </c>
    </row>
    <row r="172" spans="1:5" x14ac:dyDescent="0.3">
      <c r="A172" t="s">
        <v>908</v>
      </c>
      <c r="B172" s="17">
        <v>44732</v>
      </c>
      <c r="C172" s="17">
        <v>44732</v>
      </c>
      <c r="D172" t="s">
        <v>767</v>
      </c>
      <c r="E172" t="s">
        <v>167</v>
      </c>
    </row>
    <row r="173" spans="1:5" x14ac:dyDescent="0.3">
      <c r="A173" t="s">
        <v>909</v>
      </c>
      <c r="B173" s="17">
        <v>44733</v>
      </c>
      <c r="C173" s="17">
        <v>44733</v>
      </c>
      <c r="D173" t="s">
        <v>910</v>
      </c>
      <c r="E173" t="s">
        <v>168</v>
      </c>
    </row>
    <row r="174" spans="1:5" x14ac:dyDescent="0.3">
      <c r="A174" t="s">
        <v>911</v>
      </c>
      <c r="B174" s="17">
        <v>44734</v>
      </c>
      <c r="C174" s="17">
        <v>44734</v>
      </c>
      <c r="D174" t="s">
        <v>912</v>
      </c>
      <c r="E174" t="s">
        <v>169</v>
      </c>
    </row>
    <row r="175" spans="1:5" x14ac:dyDescent="0.3">
      <c r="A175" t="s">
        <v>913</v>
      </c>
      <c r="B175" s="17">
        <v>44735</v>
      </c>
      <c r="C175" s="17">
        <v>44735</v>
      </c>
      <c r="D175" t="s">
        <v>914</v>
      </c>
      <c r="E175" t="s">
        <v>170</v>
      </c>
    </row>
    <row r="176" spans="1:5" x14ac:dyDescent="0.3">
      <c r="A176" t="s">
        <v>915</v>
      </c>
      <c r="B176" s="17">
        <v>44736</v>
      </c>
      <c r="C176" s="17">
        <v>44736</v>
      </c>
      <c r="D176" t="s">
        <v>916</v>
      </c>
      <c r="E176" t="s">
        <v>171</v>
      </c>
    </row>
    <row r="177" spans="1:5" x14ac:dyDescent="0.3">
      <c r="A177" t="s">
        <v>917</v>
      </c>
      <c r="B177" s="17">
        <v>44737</v>
      </c>
      <c r="C177" s="17">
        <v>44737</v>
      </c>
      <c r="D177" t="s">
        <v>918</v>
      </c>
      <c r="E177" t="s">
        <v>172</v>
      </c>
    </row>
    <row r="178" spans="1:5" x14ac:dyDescent="0.3">
      <c r="A178" t="s">
        <v>919</v>
      </c>
      <c r="B178" s="17">
        <v>44738</v>
      </c>
      <c r="C178" s="17">
        <v>44738</v>
      </c>
      <c r="D178" t="s">
        <v>920</v>
      </c>
      <c r="E178" t="s">
        <v>173</v>
      </c>
    </row>
    <row r="179" spans="1:5" x14ac:dyDescent="0.3">
      <c r="A179" t="s">
        <v>921</v>
      </c>
      <c r="B179" s="17">
        <v>44739</v>
      </c>
      <c r="C179" s="17">
        <v>44739</v>
      </c>
      <c r="D179" t="s">
        <v>922</v>
      </c>
      <c r="E179" t="s">
        <v>174</v>
      </c>
    </row>
    <row r="180" spans="1:5" x14ac:dyDescent="0.3">
      <c r="A180" t="s">
        <v>923</v>
      </c>
      <c r="B180" s="17">
        <v>44740</v>
      </c>
      <c r="C180" s="17">
        <v>44740</v>
      </c>
      <c r="D180" t="s">
        <v>924</v>
      </c>
      <c r="E180" t="s">
        <v>175</v>
      </c>
    </row>
    <row r="181" spans="1:5" x14ac:dyDescent="0.3">
      <c r="A181" t="s">
        <v>925</v>
      </c>
      <c r="B181" s="17">
        <v>44741</v>
      </c>
      <c r="C181" s="17">
        <v>44741</v>
      </c>
      <c r="D181" t="s">
        <v>926</v>
      </c>
      <c r="E181" t="s">
        <v>176</v>
      </c>
    </row>
    <row r="182" spans="1:5" x14ac:dyDescent="0.3">
      <c r="A182" t="s">
        <v>927</v>
      </c>
      <c r="B182" s="17">
        <v>44742</v>
      </c>
      <c r="C182" s="17">
        <v>44742</v>
      </c>
      <c r="D182" t="s">
        <v>928</v>
      </c>
      <c r="E182" t="s">
        <v>177</v>
      </c>
    </row>
    <row r="183" spans="1:5" x14ac:dyDescent="0.3">
      <c r="A183" t="s">
        <v>929</v>
      </c>
      <c r="B183" s="17">
        <v>44743</v>
      </c>
      <c r="C183" s="17">
        <v>44743</v>
      </c>
      <c r="D183" t="s">
        <v>930</v>
      </c>
      <c r="E183" t="s">
        <v>178</v>
      </c>
    </row>
    <row r="184" spans="1:5" x14ac:dyDescent="0.3">
      <c r="A184" t="s">
        <v>931</v>
      </c>
      <c r="B184" s="17">
        <v>44744</v>
      </c>
      <c r="C184" s="17">
        <v>44744</v>
      </c>
      <c r="D184" t="s">
        <v>932</v>
      </c>
      <c r="E184" t="s">
        <v>179</v>
      </c>
    </row>
    <row r="185" spans="1:5" x14ac:dyDescent="0.3">
      <c r="A185" t="s">
        <v>933</v>
      </c>
      <c r="B185" s="17">
        <v>44745</v>
      </c>
      <c r="C185" s="17">
        <v>44745</v>
      </c>
      <c r="D185" t="s">
        <v>934</v>
      </c>
      <c r="E185" t="s">
        <v>180</v>
      </c>
    </row>
    <row r="186" spans="1:5" x14ac:dyDescent="0.3">
      <c r="A186" t="s">
        <v>935</v>
      </c>
      <c r="B186" s="17">
        <v>44746</v>
      </c>
      <c r="C186" s="17">
        <v>44746</v>
      </c>
      <c r="D186" t="s">
        <v>584</v>
      </c>
      <c r="E186" t="s">
        <v>181</v>
      </c>
    </row>
    <row r="187" spans="1:5" x14ac:dyDescent="0.3">
      <c r="A187" t="s">
        <v>936</v>
      </c>
      <c r="B187" s="17">
        <v>44747</v>
      </c>
      <c r="C187" s="17">
        <v>44747</v>
      </c>
      <c r="D187" t="s">
        <v>937</v>
      </c>
      <c r="E187" t="s">
        <v>182</v>
      </c>
    </row>
    <row r="188" spans="1:5" x14ac:dyDescent="0.3">
      <c r="A188" t="s">
        <v>938</v>
      </c>
      <c r="B188" s="17">
        <v>44748</v>
      </c>
      <c r="C188" s="17">
        <v>44748</v>
      </c>
      <c r="D188" t="s">
        <v>939</v>
      </c>
      <c r="E188" t="s">
        <v>183</v>
      </c>
    </row>
    <row r="189" spans="1:5" x14ac:dyDescent="0.3">
      <c r="A189" t="s">
        <v>940</v>
      </c>
      <c r="B189" s="17">
        <v>44749</v>
      </c>
      <c r="C189" s="17">
        <v>44749</v>
      </c>
      <c r="D189" t="s">
        <v>941</v>
      </c>
      <c r="E189" t="s">
        <v>184</v>
      </c>
    </row>
    <row r="190" spans="1:5" x14ac:dyDescent="0.3">
      <c r="A190" t="s">
        <v>942</v>
      </c>
      <c r="B190" s="17">
        <v>44750</v>
      </c>
      <c r="C190" s="17">
        <v>44750</v>
      </c>
      <c r="D190" t="s">
        <v>943</v>
      </c>
      <c r="E190" t="s">
        <v>185</v>
      </c>
    </row>
    <row r="191" spans="1:5" x14ac:dyDescent="0.3">
      <c r="A191" t="s">
        <v>944</v>
      </c>
      <c r="B191" s="17">
        <v>44751</v>
      </c>
      <c r="C191" s="17">
        <v>44751</v>
      </c>
      <c r="D191" t="s">
        <v>945</v>
      </c>
      <c r="E191" t="s">
        <v>186</v>
      </c>
    </row>
    <row r="192" spans="1:5" x14ac:dyDescent="0.3">
      <c r="A192" t="s">
        <v>946</v>
      </c>
      <c r="B192" s="17">
        <v>44752</v>
      </c>
      <c r="C192" s="17">
        <v>44752</v>
      </c>
      <c r="D192" t="s">
        <v>947</v>
      </c>
      <c r="E192" t="s">
        <v>187</v>
      </c>
    </row>
    <row r="193" spans="1:5" x14ac:dyDescent="0.3">
      <c r="A193" t="s">
        <v>948</v>
      </c>
      <c r="B193" s="17">
        <v>44753</v>
      </c>
      <c r="C193" s="17">
        <v>44753</v>
      </c>
      <c r="D193" t="s">
        <v>949</v>
      </c>
      <c r="E193" t="s">
        <v>188</v>
      </c>
    </row>
    <row r="194" spans="1:5" x14ac:dyDescent="0.3">
      <c r="A194" t="s">
        <v>950</v>
      </c>
      <c r="B194" s="17">
        <v>44754</v>
      </c>
      <c r="C194" s="17">
        <v>44754</v>
      </c>
      <c r="D194" t="s">
        <v>951</v>
      </c>
      <c r="E194" t="s">
        <v>952</v>
      </c>
    </row>
    <row r="195" spans="1:5" x14ac:dyDescent="0.3">
      <c r="A195" t="s">
        <v>953</v>
      </c>
      <c r="B195" s="17">
        <v>44755</v>
      </c>
      <c r="C195" s="17">
        <v>44755</v>
      </c>
      <c r="D195" t="s">
        <v>954</v>
      </c>
      <c r="E195" t="s">
        <v>189</v>
      </c>
    </row>
    <row r="196" spans="1:5" x14ac:dyDescent="0.3">
      <c r="A196" t="s">
        <v>955</v>
      </c>
      <c r="B196" s="17">
        <v>44756</v>
      </c>
      <c r="C196" s="17">
        <v>44756</v>
      </c>
      <c r="D196" t="s">
        <v>956</v>
      </c>
      <c r="E196" t="s">
        <v>190</v>
      </c>
    </row>
    <row r="197" spans="1:5" x14ac:dyDescent="0.3">
      <c r="A197" t="s">
        <v>957</v>
      </c>
      <c r="B197" s="17">
        <v>44757</v>
      </c>
      <c r="C197" s="17">
        <v>44757</v>
      </c>
      <c r="D197" t="s">
        <v>958</v>
      </c>
      <c r="E197" t="s">
        <v>959</v>
      </c>
    </row>
    <row r="198" spans="1:5" x14ac:dyDescent="0.3">
      <c r="A198" t="s">
        <v>960</v>
      </c>
      <c r="B198" s="17">
        <v>44758</v>
      </c>
      <c r="C198" s="17">
        <v>44758</v>
      </c>
      <c r="D198" t="s">
        <v>961</v>
      </c>
      <c r="E198" t="s">
        <v>191</v>
      </c>
    </row>
    <row r="199" spans="1:5" x14ac:dyDescent="0.3">
      <c r="A199" t="s">
        <v>962</v>
      </c>
      <c r="B199" s="17">
        <v>44759</v>
      </c>
      <c r="C199" s="17">
        <v>44759</v>
      </c>
      <c r="D199" t="s">
        <v>963</v>
      </c>
      <c r="E199" t="s">
        <v>192</v>
      </c>
    </row>
    <row r="200" spans="1:5" x14ac:dyDescent="0.3">
      <c r="A200" t="s">
        <v>964</v>
      </c>
      <c r="B200" s="17">
        <v>44760</v>
      </c>
      <c r="C200" s="17">
        <v>44760</v>
      </c>
      <c r="D200" t="s">
        <v>965</v>
      </c>
      <c r="E200" t="s">
        <v>193</v>
      </c>
    </row>
    <row r="201" spans="1:5" x14ac:dyDescent="0.3">
      <c r="A201" t="s">
        <v>966</v>
      </c>
      <c r="B201" s="17">
        <v>44761</v>
      </c>
      <c r="C201" s="17">
        <v>44761</v>
      </c>
      <c r="D201" t="s">
        <v>967</v>
      </c>
      <c r="E201" t="s">
        <v>968</v>
      </c>
    </row>
    <row r="202" spans="1:5" x14ac:dyDescent="0.3">
      <c r="A202" t="s">
        <v>969</v>
      </c>
      <c r="B202" s="17">
        <v>44762</v>
      </c>
      <c r="C202" s="17">
        <v>44762</v>
      </c>
      <c r="D202" t="s">
        <v>970</v>
      </c>
      <c r="E202" t="s">
        <v>194</v>
      </c>
    </row>
    <row r="203" spans="1:5" x14ac:dyDescent="0.3">
      <c r="A203" t="s">
        <v>971</v>
      </c>
      <c r="B203" s="17">
        <v>44763</v>
      </c>
      <c r="C203" s="17">
        <v>44763</v>
      </c>
      <c r="D203" t="s">
        <v>972</v>
      </c>
      <c r="E203" t="s">
        <v>195</v>
      </c>
    </row>
    <row r="204" spans="1:5" x14ac:dyDescent="0.3">
      <c r="A204" t="s">
        <v>973</v>
      </c>
      <c r="B204" s="17">
        <v>44764</v>
      </c>
      <c r="C204" s="17">
        <v>44764</v>
      </c>
      <c r="D204" t="s">
        <v>974</v>
      </c>
      <c r="E204" t="s">
        <v>196</v>
      </c>
    </row>
    <row r="205" spans="1:5" x14ac:dyDescent="0.3">
      <c r="A205" t="s">
        <v>975</v>
      </c>
      <c r="B205" s="17">
        <v>44765</v>
      </c>
      <c r="C205" s="17">
        <v>44765</v>
      </c>
      <c r="D205" t="s">
        <v>976</v>
      </c>
      <c r="E205" t="s">
        <v>197</v>
      </c>
    </row>
    <row r="206" spans="1:5" x14ac:dyDescent="0.3">
      <c r="A206" t="s">
        <v>977</v>
      </c>
      <c r="B206" s="17">
        <v>44766</v>
      </c>
      <c r="C206" s="17">
        <v>44766</v>
      </c>
      <c r="D206" t="s">
        <v>978</v>
      </c>
      <c r="E206" t="s">
        <v>198</v>
      </c>
    </row>
    <row r="207" spans="1:5" x14ac:dyDescent="0.3">
      <c r="A207" t="s">
        <v>979</v>
      </c>
      <c r="B207" s="17">
        <v>44767</v>
      </c>
      <c r="C207" s="17">
        <v>44767</v>
      </c>
      <c r="D207" t="s">
        <v>734</v>
      </c>
      <c r="E207" t="s">
        <v>199</v>
      </c>
    </row>
    <row r="208" spans="1:5" x14ac:dyDescent="0.3">
      <c r="A208" t="s">
        <v>980</v>
      </c>
      <c r="B208" s="17">
        <v>44768</v>
      </c>
      <c r="C208" s="17">
        <v>44768</v>
      </c>
      <c r="D208" t="s">
        <v>734</v>
      </c>
      <c r="E208" t="s">
        <v>200</v>
      </c>
    </row>
    <row r="209" spans="1:5" x14ac:dyDescent="0.3">
      <c r="A209" t="s">
        <v>981</v>
      </c>
      <c r="B209" s="17">
        <v>44769</v>
      </c>
      <c r="C209" s="17">
        <v>44769</v>
      </c>
      <c r="D209" t="s">
        <v>734</v>
      </c>
      <c r="E209" t="s">
        <v>201</v>
      </c>
    </row>
    <row r="210" spans="1:5" x14ac:dyDescent="0.3">
      <c r="A210" t="s">
        <v>982</v>
      </c>
      <c r="B210" s="17">
        <v>44770</v>
      </c>
      <c r="C210" s="17">
        <v>44770</v>
      </c>
      <c r="D210" t="s">
        <v>978</v>
      </c>
      <c r="E210" t="s">
        <v>202</v>
      </c>
    </row>
    <row r="211" spans="1:5" x14ac:dyDescent="0.3">
      <c r="A211" t="s">
        <v>983</v>
      </c>
      <c r="B211" s="17">
        <v>44771</v>
      </c>
      <c r="C211" s="17">
        <v>44771</v>
      </c>
      <c r="D211" t="s">
        <v>984</v>
      </c>
      <c r="E211" t="s">
        <v>203</v>
      </c>
    </row>
    <row r="212" spans="1:5" x14ac:dyDescent="0.3">
      <c r="A212" t="s">
        <v>985</v>
      </c>
      <c r="B212" s="17">
        <v>44772</v>
      </c>
      <c r="C212" s="17">
        <v>44772</v>
      </c>
      <c r="D212" t="s">
        <v>986</v>
      </c>
      <c r="E212" t="s">
        <v>204</v>
      </c>
    </row>
    <row r="213" spans="1:5" x14ac:dyDescent="0.3">
      <c r="A213" t="s">
        <v>987</v>
      </c>
      <c r="B213" s="17">
        <v>44773</v>
      </c>
      <c r="C213" s="17">
        <v>44773</v>
      </c>
      <c r="D213" t="s">
        <v>988</v>
      </c>
      <c r="E213" t="s">
        <v>205</v>
      </c>
    </row>
    <row r="214" spans="1:5" x14ac:dyDescent="0.3">
      <c r="A214" t="s">
        <v>989</v>
      </c>
      <c r="B214" s="17">
        <v>44774</v>
      </c>
      <c r="C214" s="17">
        <v>44774</v>
      </c>
      <c r="D214" t="s">
        <v>990</v>
      </c>
      <c r="E214" t="s">
        <v>206</v>
      </c>
    </row>
    <row r="215" spans="1:5" x14ac:dyDescent="0.3">
      <c r="A215" t="s">
        <v>991</v>
      </c>
      <c r="B215" s="17">
        <v>44775</v>
      </c>
      <c r="C215" s="17">
        <v>44775</v>
      </c>
      <c r="D215" t="s">
        <v>992</v>
      </c>
      <c r="E215" t="s">
        <v>207</v>
      </c>
    </row>
    <row r="216" spans="1:5" x14ac:dyDescent="0.3">
      <c r="A216" t="s">
        <v>993</v>
      </c>
      <c r="B216" s="17">
        <v>44776</v>
      </c>
      <c r="C216" s="17">
        <v>44776</v>
      </c>
      <c r="D216" t="s">
        <v>994</v>
      </c>
      <c r="E216" t="s">
        <v>208</v>
      </c>
    </row>
    <row r="217" spans="1:5" x14ac:dyDescent="0.3">
      <c r="A217" t="s">
        <v>995</v>
      </c>
      <c r="B217" s="17">
        <v>44777</v>
      </c>
      <c r="C217" s="17">
        <v>44777</v>
      </c>
      <c r="D217" t="s">
        <v>996</v>
      </c>
      <c r="E217" t="s">
        <v>209</v>
      </c>
    </row>
    <row r="218" spans="1:5" x14ac:dyDescent="0.3">
      <c r="A218" t="s">
        <v>997</v>
      </c>
      <c r="B218" s="17">
        <v>44778</v>
      </c>
      <c r="C218" s="17">
        <v>44778</v>
      </c>
      <c r="D218" t="s">
        <v>998</v>
      </c>
      <c r="E218" t="s">
        <v>210</v>
      </c>
    </row>
    <row r="219" spans="1:5" x14ac:dyDescent="0.3">
      <c r="A219" t="s">
        <v>999</v>
      </c>
      <c r="B219" s="17">
        <v>44779</v>
      </c>
      <c r="C219" s="17">
        <v>44779</v>
      </c>
      <c r="D219" t="s">
        <v>1000</v>
      </c>
      <c r="E219" t="s">
        <v>211</v>
      </c>
    </row>
    <row r="220" spans="1:5" x14ac:dyDescent="0.3">
      <c r="A220" t="s">
        <v>1001</v>
      </c>
      <c r="B220" s="17">
        <v>44780</v>
      </c>
      <c r="C220" s="17">
        <v>44780</v>
      </c>
      <c r="D220" t="s">
        <v>590</v>
      </c>
      <c r="E220" t="s">
        <v>212</v>
      </c>
    </row>
    <row r="221" spans="1:5" x14ac:dyDescent="0.3">
      <c r="A221" t="s">
        <v>1002</v>
      </c>
      <c r="B221" s="17">
        <v>44781</v>
      </c>
      <c r="C221" s="17">
        <v>44781</v>
      </c>
      <c r="D221" t="s">
        <v>951</v>
      </c>
      <c r="E221" t="s">
        <v>213</v>
      </c>
    </row>
    <row r="222" spans="1:5" x14ac:dyDescent="0.3">
      <c r="A222" t="s">
        <v>1003</v>
      </c>
      <c r="B222" s="17">
        <v>44782</v>
      </c>
      <c r="C222" s="17">
        <v>44782</v>
      </c>
      <c r="D222" t="s">
        <v>1004</v>
      </c>
      <c r="E222" t="s">
        <v>214</v>
      </c>
    </row>
    <row r="223" spans="1:5" x14ac:dyDescent="0.3">
      <c r="A223" t="s">
        <v>1005</v>
      </c>
      <c r="B223" s="17">
        <v>44783</v>
      </c>
      <c r="C223" s="17">
        <v>44783</v>
      </c>
      <c r="D223" t="s">
        <v>1006</v>
      </c>
      <c r="E223" t="s">
        <v>215</v>
      </c>
    </row>
    <row r="224" spans="1:5" x14ac:dyDescent="0.3">
      <c r="A224" t="s">
        <v>1007</v>
      </c>
      <c r="B224" s="17">
        <v>44784</v>
      </c>
      <c r="C224" s="17">
        <v>44784</v>
      </c>
      <c r="D224" t="s">
        <v>1008</v>
      </c>
      <c r="E224" t="s">
        <v>1009</v>
      </c>
    </row>
    <row r="225" spans="1:5" x14ac:dyDescent="0.3">
      <c r="A225" t="s">
        <v>1010</v>
      </c>
      <c r="B225" s="17">
        <v>44785</v>
      </c>
      <c r="C225" s="17">
        <v>44785</v>
      </c>
      <c r="D225" t="s">
        <v>744</v>
      </c>
      <c r="E225" t="s">
        <v>216</v>
      </c>
    </row>
    <row r="226" spans="1:5" x14ac:dyDescent="0.3">
      <c r="A226" t="s">
        <v>1011</v>
      </c>
      <c r="B226" s="17">
        <v>44786</v>
      </c>
      <c r="C226" s="17">
        <v>44786</v>
      </c>
      <c r="D226" t="s">
        <v>1012</v>
      </c>
      <c r="E226" t="s">
        <v>217</v>
      </c>
    </row>
    <row r="227" spans="1:5" x14ac:dyDescent="0.3">
      <c r="A227" t="s">
        <v>1013</v>
      </c>
      <c r="B227" s="17">
        <v>44787</v>
      </c>
      <c r="C227" s="17">
        <v>44787</v>
      </c>
      <c r="D227" t="s">
        <v>1014</v>
      </c>
      <c r="E227" t="s">
        <v>218</v>
      </c>
    </row>
    <row r="228" spans="1:5" x14ac:dyDescent="0.3">
      <c r="A228" t="s">
        <v>1015</v>
      </c>
      <c r="B228" s="17">
        <v>44788</v>
      </c>
      <c r="C228" s="17">
        <v>44788</v>
      </c>
      <c r="D228" t="s">
        <v>1016</v>
      </c>
      <c r="E228" t="s">
        <v>219</v>
      </c>
    </row>
    <row r="229" spans="1:5" x14ac:dyDescent="0.3">
      <c r="A229" t="s">
        <v>1017</v>
      </c>
      <c r="B229" s="17">
        <v>44789</v>
      </c>
      <c r="C229" s="17">
        <v>44789</v>
      </c>
      <c r="D229" t="s">
        <v>934</v>
      </c>
      <c r="E229" t="s">
        <v>220</v>
      </c>
    </row>
    <row r="230" spans="1:5" x14ac:dyDescent="0.3">
      <c r="A230" t="s">
        <v>1018</v>
      </c>
      <c r="B230" s="17">
        <v>44790</v>
      </c>
      <c r="C230" s="17">
        <v>44790</v>
      </c>
      <c r="D230" t="s">
        <v>1019</v>
      </c>
      <c r="E230" t="s">
        <v>1020</v>
      </c>
    </row>
    <row r="231" spans="1:5" x14ac:dyDescent="0.3">
      <c r="A231" t="s">
        <v>1021</v>
      </c>
      <c r="B231" s="17">
        <v>44791</v>
      </c>
      <c r="C231" s="17">
        <v>44791</v>
      </c>
      <c r="D231" t="s">
        <v>751</v>
      </c>
      <c r="E231" t="s">
        <v>221</v>
      </c>
    </row>
    <row r="232" spans="1:5" x14ac:dyDescent="0.3">
      <c r="A232" t="s">
        <v>1022</v>
      </c>
      <c r="B232" s="17">
        <v>44792</v>
      </c>
      <c r="C232" s="17">
        <v>44792</v>
      </c>
      <c r="D232" t="s">
        <v>1023</v>
      </c>
      <c r="E232" t="s">
        <v>222</v>
      </c>
    </row>
    <row r="233" spans="1:5" x14ac:dyDescent="0.3">
      <c r="A233" t="s">
        <v>1024</v>
      </c>
      <c r="B233" s="17">
        <v>44793</v>
      </c>
      <c r="C233" s="17">
        <v>44793</v>
      </c>
      <c r="D233" t="s">
        <v>1025</v>
      </c>
      <c r="E233" t="s">
        <v>223</v>
      </c>
    </row>
    <row r="234" spans="1:5" x14ac:dyDescent="0.3">
      <c r="A234" t="s">
        <v>1026</v>
      </c>
      <c r="B234" s="17">
        <v>44794</v>
      </c>
      <c r="C234" s="17">
        <v>44794</v>
      </c>
      <c r="D234" t="s">
        <v>1027</v>
      </c>
      <c r="E234" t="s">
        <v>1028</v>
      </c>
    </row>
    <row r="235" spans="1:5" x14ac:dyDescent="0.3">
      <c r="A235" t="s">
        <v>1029</v>
      </c>
      <c r="B235" s="17">
        <v>44795</v>
      </c>
      <c r="C235" s="17">
        <v>44795</v>
      </c>
      <c r="D235" t="s">
        <v>1030</v>
      </c>
      <c r="E235" t="s">
        <v>224</v>
      </c>
    </row>
    <row r="236" spans="1:5" x14ac:dyDescent="0.3">
      <c r="A236" t="s">
        <v>1031</v>
      </c>
      <c r="B236" s="17">
        <v>44796</v>
      </c>
      <c r="C236" s="17">
        <v>44796</v>
      </c>
      <c r="D236" t="s">
        <v>1032</v>
      </c>
      <c r="E236" t="s">
        <v>1033</v>
      </c>
    </row>
    <row r="237" spans="1:5" x14ac:dyDescent="0.3">
      <c r="A237" t="s">
        <v>1034</v>
      </c>
      <c r="B237" s="17">
        <v>44797</v>
      </c>
      <c r="C237" s="17">
        <v>44797</v>
      </c>
      <c r="D237" t="s">
        <v>1035</v>
      </c>
      <c r="E237" t="s">
        <v>1036</v>
      </c>
    </row>
    <row r="238" spans="1:5" x14ac:dyDescent="0.3">
      <c r="A238" t="s">
        <v>1037</v>
      </c>
      <c r="B238" s="17">
        <v>44798</v>
      </c>
      <c r="C238" s="17">
        <v>44798</v>
      </c>
      <c r="D238" t="s">
        <v>1038</v>
      </c>
      <c r="E238" t="s">
        <v>225</v>
      </c>
    </row>
    <row r="239" spans="1:5" x14ac:dyDescent="0.3">
      <c r="A239" t="s">
        <v>1039</v>
      </c>
      <c r="B239" s="17">
        <v>44799</v>
      </c>
      <c r="C239" s="17">
        <v>44799</v>
      </c>
      <c r="D239" t="s">
        <v>1040</v>
      </c>
      <c r="E239" t="s">
        <v>226</v>
      </c>
    </row>
    <row r="240" spans="1:5" x14ac:dyDescent="0.3">
      <c r="A240" t="s">
        <v>1041</v>
      </c>
      <c r="B240" s="17">
        <v>44800</v>
      </c>
      <c r="C240" s="17">
        <v>44800</v>
      </c>
      <c r="D240" t="s">
        <v>1042</v>
      </c>
      <c r="E240" t="s">
        <v>227</v>
      </c>
    </row>
    <row r="241" spans="1:5" x14ac:dyDescent="0.3">
      <c r="A241" t="s">
        <v>1043</v>
      </c>
      <c r="B241" s="17">
        <v>44801</v>
      </c>
      <c r="C241" s="17">
        <v>44801</v>
      </c>
      <c r="D241" t="s">
        <v>1044</v>
      </c>
      <c r="E241" t="s">
        <v>228</v>
      </c>
    </row>
    <row r="242" spans="1:5" x14ac:dyDescent="0.3">
      <c r="A242" t="s">
        <v>1045</v>
      </c>
      <c r="B242" s="17">
        <v>44802</v>
      </c>
      <c r="C242" s="17">
        <v>44802</v>
      </c>
      <c r="D242" t="s">
        <v>903</v>
      </c>
      <c r="E242" t="s">
        <v>229</v>
      </c>
    </row>
    <row r="243" spans="1:5" x14ac:dyDescent="0.3">
      <c r="A243" t="s">
        <v>1046</v>
      </c>
      <c r="B243" s="17">
        <v>44803</v>
      </c>
      <c r="C243" s="17">
        <v>44803</v>
      </c>
      <c r="D243" t="s">
        <v>1047</v>
      </c>
      <c r="E243" t="s">
        <v>1048</v>
      </c>
    </row>
    <row r="244" spans="1:5" x14ac:dyDescent="0.3">
      <c r="A244" t="s">
        <v>1049</v>
      </c>
      <c r="B244" s="17">
        <v>44804</v>
      </c>
      <c r="C244" s="17">
        <v>44804</v>
      </c>
      <c r="D244" t="s">
        <v>1050</v>
      </c>
      <c r="E244" t="s">
        <v>230</v>
      </c>
    </row>
    <row r="245" spans="1:5" x14ac:dyDescent="0.3">
      <c r="A245" t="s">
        <v>1051</v>
      </c>
      <c r="B245" s="17">
        <v>44805</v>
      </c>
      <c r="C245" s="17">
        <v>44805</v>
      </c>
      <c r="D245" t="s">
        <v>1052</v>
      </c>
      <c r="E245" t="s">
        <v>231</v>
      </c>
    </row>
    <row r="246" spans="1:5" x14ac:dyDescent="0.3">
      <c r="A246" t="s">
        <v>1053</v>
      </c>
      <c r="B246" s="17">
        <v>44806</v>
      </c>
      <c r="C246" s="17">
        <v>44806</v>
      </c>
      <c r="D246" t="s">
        <v>1054</v>
      </c>
      <c r="E246" t="s">
        <v>232</v>
      </c>
    </row>
    <row r="247" spans="1:5" x14ac:dyDescent="0.3">
      <c r="A247" t="s">
        <v>1055</v>
      </c>
      <c r="B247" s="17">
        <v>44807</v>
      </c>
      <c r="C247" s="17">
        <v>44807</v>
      </c>
      <c r="D247" t="s">
        <v>1056</v>
      </c>
      <c r="E247" t="s">
        <v>1057</v>
      </c>
    </row>
    <row r="248" spans="1:5" x14ac:dyDescent="0.3">
      <c r="A248" t="s">
        <v>1058</v>
      </c>
      <c r="B248" s="17">
        <v>44808</v>
      </c>
      <c r="C248" s="17">
        <v>44808</v>
      </c>
      <c r="D248" t="s">
        <v>1059</v>
      </c>
      <c r="E248" t="s">
        <v>233</v>
      </c>
    </row>
    <row r="249" spans="1:5" x14ac:dyDescent="0.3">
      <c r="A249" t="s">
        <v>1060</v>
      </c>
      <c r="B249" s="17">
        <v>44809</v>
      </c>
      <c r="C249" s="17">
        <v>44809</v>
      </c>
      <c r="D249" t="s">
        <v>792</v>
      </c>
      <c r="E249" t="s">
        <v>234</v>
      </c>
    </row>
    <row r="250" spans="1:5" x14ac:dyDescent="0.3">
      <c r="A250" t="s">
        <v>1061</v>
      </c>
      <c r="B250" s="17">
        <v>44810</v>
      </c>
      <c r="C250" s="17">
        <v>44810</v>
      </c>
      <c r="D250" t="s">
        <v>1062</v>
      </c>
      <c r="E250" t="s">
        <v>235</v>
      </c>
    </row>
    <row r="251" spans="1:5" x14ac:dyDescent="0.3">
      <c r="A251" t="s">
        <v>1063</v>
      </c>
      <c r="B251" s="17">
        <v>44811</v>
      </c>
      <c r="C251" s="17">
        <v>44811</v>
      </c>
      <c r="D251" t="s">
        <v>874</v>
      </c>
      <c r="E251" t="s">
        <v>236</v>
      </c>
    </row>
    <row r="252" spans="1:5" x14ac:dyDescent="0.3">
      <c r="A252" t="s">
        <v>1064</v>
      </c>
      <c r="B252" s="17">
        <v>44812</v>
      </c>
      <c r="C252" s="17">
        <v>44812</v>
      </c>
      <c r="D252" t="s">
        <v>1065</v>
      </c>
      <c r="E252" t="s">
        <v>1066</v>
      </c>
    </row>
    <row r="253" spans="1:5" x14ac:dyDescent="0.3">
      <c r="A253" t="s">
        <v>1067</v>
      </c>
      <c r="B253" s="17">
        <v>44813</v>
      </c>
      <c r="C253" s="17">
        <v>44813</v>
      </c>
      <c r="D253" t="s">
        <v>1068</v>
      </c>
      <c r="E253" t="s">
        <v>237</v>
      </c>
    </row>
    <row r="254" spans="1:5" x14ac:dyDescent="0.3">
      <c r="A254" t="s">
        <v>1069</v>
      </c>
      <c r="B254" s="17">
        <v>44814</v>
      </c>
      <c r="C254" s="17">
        <v>44814</v>
      </c>
      <c r="D254" t="s">
        <v>814</v>
      </c>
      <c r="E254" t="s">
        <v>238</v>
      </c>
    </row>
    <row r="255" spans="1:5" x14ac:dyDescent="0.3">
      <c r="A255" t="s">
        <v>1070</v>
      </c>
      <c r="B255" s="17">
        <v>44815</v>
      </c>
      <c r="C255" s="17">
        <v>44815</v>
      </c>
      <c r="D255" t="s">
        <v>822</v>
      </c>
      <c r="E255" t="s">
        <v>1071</v>
      </c>
    </row>
    <row r="256" spans="1:5" x14ac:dyDescent="0.3">
      <c r="A256" t="s">
        <v>1072</v>
      </c>
      <c r="B256" s="17">
        <v>44816</v>
      </c>
      <c r="C256" s="17">
        <v>44816</v>
      </c>
      <c r="D256" t="s">
        <v>1073</v>
      </c>
      <c r="E256" t="s">
        <v>239</v>
      </c>
    </row>
    <row r="257" spans="1:5" x14ac:dyDescent="0.3">
      <c r="A257" t="s">
        <v>1074</v>
      </c>
      <c r="B257" s="17">
        <v>44817</v>
      </c>
      <c r="C257" s="17">
        <v>44817</v>
      </c>
      <c r="D257" t="s">
        <v>1075</v>
      </c>
      <c r="E257" t="s">
        <v>1076</v>
      </c>
    </row>
    <row r="258" spans="1:5" x14ac:dyDescent="0.3">
      <c r="A258" t="s">
        <v>1077</v>
      </c>
      <c r="B258" s="17">
        <v>44818</v>
      </c>
      <c r="C258" s="17">
        <v>44818</v>
      </c>
      <c r="D258" t="s">
        <v>1078</v>
      </c>
      <c r="E258" t="s">
        <v>240</v>
      </c>
    </row>
    <row r="259" spans="1:5" x14ac:dyDescent="0.3">
      <c r="A259" t="s">
        <v>1079</v>
      </c>
      <c r="B259" s="17">
        <v>44819</v>
      </c>
      <c r="C259" s="17">
        <v>44819</v>
      </c>
      <c r="D259" t="s">
        <v>1080</v>
      </c>
      <c r="E259" t="s">
        <v>241</v>
      </c>
    </row>
    <row r="260" spans="1:5" x14ac:dyDescent="0.3">
      <c r="A260" t="s">
        <v>1081</v>
      </c>
      <c r="B260" s="17">
        <v>44820</v>
      </c>
      <c r="C260" s="17">
        <v>44820</v>
      </c>
      <c r="D260" t="s">
        <v>1082</v>
      </c>
      <c r="E260" t="s">
        <v>242</v>
      </c>
    </row>
    <row r="261" spans="1:5" x14ac:dyDescent="0.3">
      <c r="A261" t="s">
        <v>1083</v>
      </c>
      <c r="B261" s="17">
        <v>44821</v>
      </c>
      <c r="C261" s="17">
        <v>44821</v>
      </c>
      <c r="D261" t="s">
        <v>1084</v>
      </c>
      <c r="E261" t="s">
        <v>243</v>
      </c>
    </row>
    <row r="262" spans="1:5" x14ac:dyDescent="0.3">
      <c r="A262" t="s">
        <v>1085</v>
      </c>
      <c r="B262" s="17">
        <v>44822</v>
      </c>
      <c r="C262" s="17">
        <v>44822</v>
      </c>
      <c r="D262" t="s">
        <v>1086</v>
      </c>
      <c r="E262" t="s">
        <v>244</v>
      </c>
    </row>
    <row r="263" spans="1:5" x14ac:dyDescent="0.3">
      <c r="A263" t="s">
        <v>1087</v>
      </c>
      <c r="B263" s="17">
        <v>44823</v>
      </c>
      <c r="C263" s="17">
        <v>44823</v>
      </c>
      <c r="D263" t="s">
        <v>1088</v>
      </c>
      <c r="E263" t="s">
        <v>245</v>
      </c>
    </row>
    <row r="264" spans="1:5" x14ac:dyDescent="0.3">
      <c r="A264" t="s">
        <v>1089</v>
      </c>
      <c r="B264" s="17">
        <v>44824</v>
      </c>
      <c r="C264" s="17">
        <v>44824</v>
      </c>
      <c r="D264" t="s">
        <v>1090</v>
      </c>
      <c r="E264" t="s">
        <v>246</v>
      </c>
    </row>
    <row r="265" spans="1:5" x14ac:dyDescent="0.3">
      <c r="A265" t="s">
        <v>1091</v>
      </c>
      <c r="B265" s="17">
        <v>44825</v>
      </c>
      <c r="C265" s="17">
        <v>44825</v>
      </c>
      <c r="D265" t="s">
        <v>1092</v>
      </c>
      <c r="E265" t="s">
        <v>247</v>
      </c>
    </row>
    <row r="266" spans="1:5" x14ac:dyDescent="0.3">
      <c r="A266" t="s">
        <v>1093</v>
      </c>
      <c r="B266" s="17">
        <v>44826</v>
      </c>
      <c r="C266" s="17">
        <v>44826</v>
      </c>
      <c r="D266" t="s">
        <v>1094</v>
      </c>
      <c r="E266" t="s">
        <v>248</v>
      </c>
    </row>
    <row r="267" spans="1:5" x14ac:dyDescent="0.3">
      <c r="A267" t="s">
        <v>1095</v>
      </c>
      <c r="B267" s="17">
        <v>44827</v>
      </c>
      <c r="C267" s="17">
        <v>44827</v>
      </c>
      <c r="D267" t="s">
        <v>1096</v>
      </c>
      <c r="E267" t="s">
        <v>249</v>
      </c>
    </row>
    <row r="268" spans="1:5" x14ac:dyDescent="0.3">
      <c r="A268" t="s">
        <v>1097</v>
      </c>
      <c r="B268" s="17">
        <v>44828</v>
      </c>
      <c r="C268" s="17">
        <v>44828</v>
      </c>
      <c r="D268" t="s">
        <v>1098</v>
      </c>
      <c r="E268" t="s">
        <v>250</v>
      </c>
    </row>
    <row r="269" spans="1:5" x14ac:dyDescent="0.3">
      <c r="A269" t="s">
        <v>1099</v>
      </c>
      <c r="B269" s="17">
        <v>44829</v>
      </c>
      <c r="C269" s="17">
        <v>44829</v>
      </c>
      <c r="D269" t="s">
        <v>1100</v>
      </c>
      <c r="E269" t="s">
        <v>1101</v>
      </c>
    </row>
    <row r="270" spans="1:5" x14ac:dyDescent="0.3">
      <c r="A270" t="s">
        <v>1102</v>
      </c>
      <c r="B270" s="17">
        <v>44830</v>
      </c>
      <c r="C270" s="17">
        <v>44830</v>
      </c>
      <c r="D270" t="s">
        <v>1103</v>
      </c>
      <c r="E270" t="s">
        <v>251</v>
      </c>
    </row>
    <row r="271" spans="1:5" x14ac:dyDescent="0.3">
      <c r="A271" t="s">
        <v>1104</v>
      </c>
      <c r="B271" s="17">
        <v>44831</v>
      </c>
      <c r="C271" s="17">
        <v>44831</v>
      </c>
      <c r="D271" t="s">
        <v>1105</v>
      </c>
      <c r="E271" t="s">
        <v>1106</v>
      </c>
    </row>
    <row r="272" spans="1:5" x14ac:dyDescent="0.3">
      <c r="A272" t="s">
        <v>1107</v>
      </c>
      <c r="B272" s="17">
        <v>44832</v>
      </c>
      <c r="C272" s="17">
        <v>44832</v>
      </c>
      <c r="D272" t="s">
        <v>1108</v>
      </c>
      <c r="E272" t="s">
        <v>252</v>
      </c>
    </row>
    <row r="273" spans="1:5" x14ac:dyDescent="0.3">
      <c r="A273" t="s">
        <v>1109</v>
      </c>
      <c r="B273" s="17">
        <v>44833</v>
      </c>
      <c r="C273" s="17">
        <v>44833</v>
      </c>
      <c r="D273" t="s">
        <v>1110</v>
      </c>
      <c r="E273" t="s">
        <v>253</v>
      </c>
    </row>
    <row r="274" spans="1:5" x14ac:dyDescent="0.3">
      <c r="A274" t="s">
        <v>1111</v>
      </c>
      <c r="B274" s="17">
        <v>44834</v>
      </c>
      <c r="C274" s="17">
        <v>44834</v>
      </c>
      <c r="D274" t="s">
        <v>1112</v>
      </c>
      <c r="E274" t="s">
        <v>254</v>
      </c>
    </row>
    <row r="275" spans="1:5" x14ac:dyDescent="0.3">
      <c r="A275" t="s">
        <v>1113</v>
      </c>
      <c r="B275" s="17">
        <v>44835</v>
      </c>
      <c r="C275" s="17">
        <v>44835</v>
      </c>
      <c r="D275" t="s">
        <v>1114</v>
      </c>
      <c r="E275" t="s">
        <v>1115</v>
      </c>
    </row>
    <row r="276" spans="1:5" x14ac:dyDescent="0.3">
      <c r="A276" t="s">
        <v>1116</v>
      </c>
      <c r="B276" s="17">
        <v>44836</v>
      </c>
      <c r="C276" s="17">
        <v>44836</v>
      </c>
      <c r="D276" t="s">
        <v>1117</v>
      </c>
      <c r="E276" t="s">
        <v>255</v>
      </c>
    </row>
    <row r="277" spans="1:5" x14ac:dyDescent="0.3">
      <c r="A277" t="s">
        <v>1118</v>
      </c>
      <c r="B277" s="17">
        <v>44837</v>
      </c>
      <c r="C277" s="17">
        <v>44837</v>
      </c>
      <c r="D277" t="s">
        <v>1119</v>
      </c>
      <c r="E277" t="s">
        <v>256</v>
      </c>
    </row>
    <row r="278" spans="1:5" x14ac:dyDescent="0.3">
      <c r="A278" t="s">
        <v>1120</v>
      </c>
      <c r="B278" s="17">
        <v>44838</v>
      </c>
      <c r="C278" s="17">
        <v>44838</v>
      </c>
      <c r="D278" t="s">
        <v>1121</v>
      </c>
      <c r="E278" t="s">
        <v>257</v>
      </c>
    </row>
    <row r="279" spans="1:5" x14ac:dyDescent="0.3">
      <c r="A279" t="s">
        <v>1122</v>
      </c>
      <c r="B279" s="17">
        <v>44839</v>
      </c>
      <c r="C279" s="17">
        <v>44839</v>
      </c>
      <c r="D279" t="s">
        <v>1123</v>
      </c>
      <c r="E279" t="s">
        <v>1124</v>
      </c>
    </row>
    <row r="280" spans="1:5" x14ac:dyDescent="0.3">
      <c r="A280" t="s">
        <v>1125</v>
      </c>
      <c r="B280" s="17">
        <v>44840</v>
      </c>
      <c r="C280" s="17">
        <v>44840</v>
      </c>
      <c r="D280" t="s">
        <v>1126</v>
      </c>
      <c r="E280" t="s">
        <v>1127</v>
      </c>
    </row>
    <row r="281" spans="1:5" x14ac:dyDescent="0.3">
      <c r="A281" t="s">
        <v>1128</v>
      </c>
      <c r="B281" s="17">
        <v>44841</v>
      </c>
      <c r="C281" s="17">
        <v>44841</v>
      </c>
      <c r="D281" t="s">
        <v>1129</v>
      </c>
      <c r="E281" t="s">
        <v>258</v>
      </c>
    </row>
    <row r="282" spans="1:5" x14ac:dyDescent="0.3">
      <c r="A282" t="s">
        <v>1130</v>
      </c>
      <c r="B282" s="17">
        <v>44842</v>
      </c>
      <c r="C282" s="17">
        <v>44842</v>
      </c>
      <c r="D282" t="s">
        <v>1131</v>
      </c>
      <c r="E282" t="s">
        <v>259</v>
      </c>
    </row>
    <row r="283" spans="1:5" x14ac:dyDescent="0.3">
      <c r="A283" t="s">
        <v>1132</v>
      </c>
      <c r="B283" s="17">
        <v>44843</v>
      </c>
      <c r="C283" s="17">
        <v>44843</v>
      </c>
      <c r="D283" t="s">
        <v>1133</v>
      </c>
      <c r="E283" t="s">
        <v>260</v>
      </c>
    </row>
    <row r="284" spans="1:5" x14ac:dyDescent="0.3">
      <c r="A284" t="s">
        <v>1134</v>
      </c>
      <c r="B284" s="17">
        <v>44844</v>
      </c>
      <c r="C284" s="17">
        <v>44844</v>
      </c>
      <c r="D284" t="s">
        <v>1135</v>
      </c>
      <c r="E284" t="s">
        <v>261</v>
      </c>
    </row>
    <row r="285" spans="1:5" x14ac:dyDescent="0.3">
      <c r="A285" t="s">
        <v>1136</v>
      </c>
      <c r="B285" s="17">
        <v>44845</v>
      </c>
      <c r="C285" s="17">
        <v>44845</v>
      </c>
      <c r="D285" t="s">
        <v>1137</v>
      </c>
      <c r="E285" t="s">
        <v>262</v>
      </c>
    </row>
    <row r="286" spans="1:5" x14ac:dyDescent="0.3">
      <c r="A286" t="s">
        <v>1138</v>
      </c>
      <c r="B286" s="17">
        <v>44846</v>
      </c>
      <c r="C286" s="17">
        <v>44846</v>
      </c>
      <c r="D286" t="s">
        <v>1139</v>
      </c>
      <c r="E286" t="s">
        <v>1140</v>
      </c>
    </row>
    <row r="287" spans="1:5" x14ac:dyDescent="0.3">
      <c r="A287" t="s">
        <v>1141</v>
      </c>
      <c r="B287" s="17">
        <v>44847</v>
      </c>
      <c r="C287" s="17">
        <v>44847</v>
      </c>
      <c r="D287" t="s">
        <v>1142</v>
      </c>
      <c r="E287" t="s">
        <v>263</v>
      </c>
    </row>
    <row r="288" spans="1:5" x14ac:dyDescent="0.3">
      <c r="A288" t="s">
        <v>1143</v>
      </c>
      <c r="B288" s="17">
        <v>44848</v>
      </c>
      <c r="C288" s="17">
        <v>44848</v>
      </c>
      <c r="D288" t="s">
        <v>1144</v>
      </c>
      <c r="E288" t="s">
        <v>264</v>
      </c>
    </row>
    <row r="289" spans="1:5" x14ac:dyDescent="0.3">
      <c r="A289" t="s">
        <v>1145</v>
      </c>
      <c r="B289" s="17">
        <v>44849</v>
      </c>
      <c r="C289" s="17">
        <v>44849</v>
      </c>
      <c r="D289" t="s">
        <v>1146</v>
      </c>
      <c r="E289" t="s">
        <v>265</v>
      </c>
    </row>
    <row r="290" spans="1:5" x14ac:dyDescent="0.3">
      <c r="A290" t="s">
        <v>1147</v>
      </c>
      <c r="B290" s="17">
        <v>44850</v>
      </c>
      <c r="C290" s="17">
        <v>44850</v>
      </c>
      <c r="D290" t="s">
        <v>1148</v>
      </c>
      <c r="E290" t="s">
        <v>1149</v>
      </c>
    </row>
    <row r="291" spans="1:5" x14ac:dyDescent="0.3">
      <c r="A291" t="s">
        <v>1150</v>
      </c>
      <c r="B291" s="17">
        <v>44851</v>
      </c>
      <c r="C291" s="17">
        <v>44851</v>
      </c>
      <c r="D291" t="s">
        <v>1151</v>
      </c>
      <c r="E291" t="s">
        <v>266</v>
      </c>
    </row>
    <row r="292" spans="1:5" x14ac:dyDescent="0.3">
      <c r="A292" t="s">
        <v>1152</v>
      </c>
      <c r="B292" s="17">
        <v>44852</v>
      </c>
      <c r="C292" s="17">
        <v>44852</v>
      </c>
      <c r="D292" t="s">
        <v>1153</v>
      </c>
      <c r="E292" t="s">
        <v>1154</v>
      </c>
    </row>
    <row r="293" spans="1:5" x14ac:dyDescent="0.3">
      <c r="A293" t="s">
        <v>1155</v>
      </c>
      <c r="B293" s="17">
        <v>44853</v>
      </c>
      <c r="C293" s="17">
        <v>44853</v>
      </c>
      <c r="D293" t="s">
        <v>1156</v>
      </c>
      <c r="E293" t="s">
        <v>267</v>
      </c>
    </row>
    <row r="294" spans="1:5" x14ac:dyDescent="0.3">
      <c r="A294" t="s">
        <v>1157</v>
      </c>
      <c r="B294" s="17">
        <v>44854</v>
      </c>
      <c r="C294" s="17">
        <v>44854</v>
      </c>
      <c r="D294" t="s">
        <v>1158</v>
      </c>
      <c r="E294" t="s">
        <v>268</v>
      </c>
    </row>
    <row r="295" spans="1:5" x14ac:dyDescent="0.3">
      <c r="A295" t="s">
        <v>1159</v>
      </c>
      <c r="B295" s="17">
        <v>44855</v>
      </c>
      <c r="C295" s="17">
        <v>44855</v>
      </c>
      <c r="D295" t="s">
        <v>1160</v>
      </c>
      <c r="E295" t="s">
        <v>269</v>
      </c>
    </row>
    <row r="296" spans="1:5" x14ac:dyDescent="0.3">
      <c r="A296" t="s">
        <v>1161</v>
      </c>
      <c r="B296" s="17">
        <v>44856</v>
      </c>
      <c r="C296" s="17">
        <v>44856</v>
      </c>
      <c r="D296" t="s">
        <v>1162</v>
      </c>
      <c r="E296" t="s">
        <v>270</v>
      </c>
    </row>
    <row r="297" spans="1:5" x14ac:dyDescent="0.3">
      <c r="A297" t="s">
        <v>1163</v>
      </c>
      <c r="B297" s="17">
        <v>44857</v>
      </c>
      <c r="C297" s="17">
        <v>44857</v>
      </c>
      <c r="D297" t="s">
        <v>1164</v>
      </c>
      <c r="E297" t="s">
        <v>271</v>
      </c>
    </row>
    <row r="298" spans="1:5" x14ac:dyDescent="0.3">
      <c r="A298" t="s">
        <v>1165</v>
      </c>
      <c r="B298" s="17">
        <v>44858</v>
      </c>
      <c r="C298" s="17">
        <v>44858</v>
      </c>
      <c r="D298" t="s">
        <v>1166</v>
      </c>
      <c r="E298" t="s">
        <v>272</v>
      </c>
    </row>
    <row r="299" spans="1:5" x14ac:dyDescent="0.3">
      <c r="A299" t="s">
        <v>1167</v>
      </c>
      <c r="B299" s="17">
        <v>44859</v>
      </c>
      <c r="C299" s="17">
        <v>44859</v>
      </c>
      <c r="D299" t="s">
        <v>1168</v>
      </c>
      <c r="E299" t="s">
        <v>273</v>
      </c>
    </row>
    <row r="300" spans="1:5" x14ac:dyDescent="0.3">
      <c r="A300" t="s">
        <v>1169</v>
      </c>
      <c r="B300" s="17">
        <v>44860</v>
      </c>
      <c r="C300" s="17">
        <v>44860</v>
      </c>
      <c r="D300" t="s">
        <v>1170</v>
      </c>
      <c r="E300" t="s">
        <v>274</v>
      </c>
    </row>
    <row r="301" spans="1:5" x14ac:dyDescent="0.3">
      <c r="A301" t="s">
        <v>1171</v>
      </c>
      <c r="B301" s="17">
        <v>44861</v>
      </c>
      <c r="C301" s="17">
        <v>44861</v>
      </c>
      <c r="D301" t="s">
        <v>1172</v>
      </c>
      <c r="E301" t="s">
        <v>275</v>
      </c>
    </row>
    <row r="302" spans="1:5" x14ac:dyDescent="0.3">
      <c r="A302" t="s">
        <v>1173</v>
      </c>
      <c r="B302" s="17">
        <v>44862</v>
      </c>
      <c r="C302" s="17">
        <v>44862</v>
      </c>
      <c r="D302" t="s">
        <v>1174</v>
      </c>
      <c r="E302" t="s">
        <v>276</v>
      </c>
    </row>
    <row r="303" spans="1:5" x14ac:dyDescent="0.3">
      <c r="A303" t="s">
        <v>1175</v>
      </c>
      <c r="B303" s="17">
        <v>44863</v>
      </c>
      <c r="C303" s="17">
        <v>44863</v>
      </c>
      <c r="D303" t="s">
        <v>1176</v>
      </c>
      <c r="E303" t="s">
        <v>277</v>
      </c>
    </row>
    <row r="304" spans="1:5" x14ac:dyDescent="0.3">
      <c r="A304" t="s">
        <v>1177</v>
      </c>
      <c r="B304" s="17">
        <v>44864</v>
      </c>
      <c r="C304" s="17">
        <v>44864</v>
      </c>
      <c r="D304" t="s">
        <v>1178</v>
      </c>
      <c r="E304" t="s">
        <v>278</v>
      </c>
    </row>
    <row r="305" spans="1:5" x14ac:dyDescent="0.3">
      <c r="A305" t="s">
        <v>1179</v>
      </c>
      <c r="B305" s="17">
        <v>44865</v>
      </c>
      <c r="C305" s="17">
        <v>44865</v>
      </c>
      <c r="D305" t="s">
        <v>1180</v>
      </c>
      <c r="E305" t="s">
        <v>279</v>
      </c>
    </row>
    <row r="306" spans="1:5" x14ac:dyDescent="0.3">
      <c r="A306" t="s">
        <v>1181</v>
      </c>
      <c r="B306" s="17">
        <v>44866</v>
      </c>
      <c r="C306" s="17">
        <v>44866</v>
      </c>
      <c r="D306" t="s">
        <v>1182</v>
      </c>
      <c r="E306" t="s">
        <v>280</v>
      </c>
    </row>
    <row r="307" spans="1:5" x14ac:dyDescent="0.3">
      <c r="A307" t="s">
        <v>1183</v>
      </c>
      <c r="B307" s="17">
        <v>44867</v>
      </c>
      <c r="C307" s="17">
        <v>44867</v>
      </c>
      <c r="D307" t="s">
        <v>1184</v>
      </c>
      <c r="E307" t="s">
        <v>281</v>
      </c>
    </row>
    <row r="308" spans="1:5" x14ac:dyDescent="0.3">
      <c r="A308" t="s">
        <v>1185</v>
      </c>
      <c r="B308" s="17">
        <v>44868</v>
      </c>
      <c r="C308" s="17">
        <v>44868</v>
      </c>
      <c r="D308" t="s">
        <v>1184</v>
      </c>
      <c r="E308" t="s">
        <v>282</v>
      </c>
    </row>
    <row r="309" spans="1:5" x14ac:dyDescent="0.3">
      <c r="A309" t="s">
        <v>1186</v>
      </c>
      <c r="B309" s="17">
        <v>44869</v>
      </c>
      <c r="C309" s="17">
        <v>44869</v>
      </c>
      <c r="D309" t="s">
        <v>1184</v>
      </c>
      <c r="E309" t="s">
        <v>1187</v>
      </c>
    </row>
    <row r="310" spans="1:5" x14ac:dyDescent="0.3">
      <c r="A310" t="s">
        <v>1188</v>
      </c>
      <c r="B310" s="17">
        <v>44870</v>
      </c>
      <c r="C310" s="17">
        <v>44870</v>
      </c>
      <c r="D310" t="s">
        <v>1182</v>
      </c>
      <c r="E310" t="s">
        <v>283</v>
      </c>
    </row>
    <row r="311" spans="1:5" x14ac:dyDescent="0.3">
      <c r="A311" t="s">
        <v>1189</v>
      </c>
      <c r="B311" s="17">
        <v>44871</v>
      </c>
      <c r="C311" s="17">
        <v>44871</v>
      </c>
      <c r="D311" t="s">
        <v>1180</v>
      </c>
      <c r="E311" t="s">
        <v>284</v>
      </c>
    </row>
    <row r="312" spans="1:5" x14ac:dyDescent="0.3">
      <c r="A312" t="s">
        <v>1190</v>
      </c>
      <c r="B312" s="17">
        <v>44872</v>
      </c>
      <c r="C312" s="17">
        <v>44872</v>
      </c>
      <c r="D312" t="s">
        <v>1178</v>
      </c>
      <c r="E312" t="s">
        <v>285</v>
      </c>
    </row>
    <row r="313" spans="1:5" x14ac:dyDescent="0.3">
      <c r="A313" t="s">
        <v>1191</v>
      </c>
      <c r="B313" s="17">
        <v>44873</v>
      </c>
      <c r="C313" s="17">
        <v>44873</v>
      </c>
      <c r="D313" t="s">
        <v>1192</v>
      </c>
      <c r="E313" t="s">
        <v>286</v>
      </c>
    </row>
    <row r="314" spans="1:5" x14ac:dyDescent="0.3">
      <c r="A314" t="s">
        <v>1193</v>
      </c>
      <c r="B314" s="17">
        <v>44874</v>
      </c>
      <c r="C314" s="17">
        <v>44874</v>
      </c>
      <c r="D314" t="s">
        <v>1194</v>
      </c>
      <c r="E314" t="s">
        <v>287</v>
      </c>
    </row>
    <row r="315" spans="1:5" x14ac:dyDescent="0.3">
      <c r="A315" t="s">
        <v>1195</v>
      </c>
      <c r="B315" s="17">
        <v>44875</v>
      </c>
      <c r="C315" s="17">
        <v>44875</v>
      </c>
      <c r="D315" t="s">
        <v>1196</v>
      </c>
      <c r="E315" t="s">
        <v>1197</v>
      </c>
    </row>
    <row r="316" spans="1:5" x14ac:dyDescent="0.3">
      <c r="A316" t="s">
        <v>1198</v>
      </c>
      <c r="B316" s="17">
        <v>44876</v>
      </c>
      <c r="C316" s="17">
        <v>44876</v>
      </c>
      <c r="D316" t="s">
        <v>1199</v>
      </c>
      <c r="E316" t="s">
        <v>288</v>
      </c>
    </row>
    <row r="317" spans="1:5" x14ac:dyDescent="0.3">
      <c r="A317" t="s">
        <v>1200</v>
      </c>
      <c r="B317" s="17">
        <v>44877</v>
      </c>
      <c r="C317" s="17">
        <v>44877</v>
      </c>
      <c r="D317" t="s">
        <v>1201</v>
      </c>
      <c r="E317" t="s">
        <v>1202</v>
      </c>
    </row>
    <row r="318" spans="1:5" x14ac:dyDescent="0.3">
      <c r="A318" t="s">
        <v>1203</v>
      </c>
      <c r="B318" s="17">
        <v>44878</v>
      </c>
      <c r="C318" s="17">
        <v>44878</v>
      </c>
      <c r="D318" t="s">
        <v>1204</v>
      </c>
      <c r="E318" t="s">
        <v>289</v>
      </c>
    </row>
    <row r="319" spans="1:5" x14ac:dyDescent="0.3">
      <c r="A319" t="s">
        <v>1205</v>
      </c>
      <c r="B319" s="17">
        <v>44879</v>
      </c>
      <c r="C319" s="17">
        <v>44879</v>
      </c>
      <c r="D319" t="s">
        <v>1206</v>
      </c>
      <c r="E319" t="s">
        <v>290</v>
      </c>
    </row>
    <row r="320" spans="1:5" x14ac:dyDescent="0.3">
      <c r="A320" t="s">
        <v>1207</v>
      </c>
      <c r="B320" s="17">
        <v>44880</v>
      </c>
      <c r="C320" s="17">
        <v>44880</v>
      </c>
      <c r="D320" t="s">
        <v>1208</v>
      </c>
      <c r="E320" t="s">
        <v>291</v>
      </c>
    </row>
    <row r="321" spans="1:5" x14ac:dyDescent="0.3">
      <c r="A321" t="s">
        <v>1209</v>
      </c>
      <c r="B321" s="17">
        <v>44881</v>
      </c>
      <c r="C321" s="17">
        <v>44881</v>
      </c>
      <c r="D321" t="s">
        <v>1210</v>
      </c>
      <c r="E321" t="s">
        <v>292</v>
      </c>
    </row>
    <row r="322" spans="1:5" x14ac:dyDescent="0.3">
      <c r="A322" t="s">
        <v>1211</v>
      </c>
      <c r="B322" s="17">
        <v>44882</v>
      </c>
      <c r="C322" s="17">
        <v>44882</v>
      </c>
      <c r="D322" t="s">
        <v>1212</v>
      </c>
      <c r="E322" t="s">
        <v>293</v>
      </c>
    </row>
    <row r="323" spans="1:5" x14ac:dyDescent="0.3">
      <c r="A323" t="s">
        <v>1213</v>
      </c>
      <c r="B323" s="17">
        <v>44883</v>
      </c>
      <c r="C323" s="17">
        <v>44883</v>
      </c>
      <c r="D323" t="s">
        <v>1214</v>
      </c>
      <c r="E323" t="s">
        <v>294</v>
      </c>
    </row>
    <row r="324" spans="1:5" x14ac:dyDescent="0.3">
      <c r="A324" t="s">
        <v>1215</v>
      </c>
      <c r="B324" s="17">
        <v>44884</v>
      </c>
      <c r="C324" s="17">
        <v>44884</v>
      </c>
      <c r="D324" t="s">
        <v>1151</v>
      </c>
      <c r="E324" t="s">
        <v>1216</v>
      </c>
    </row>
    <row r="325" spans="1:5" x14ac:dyDescent="0.3">
      <c r="A325" t="s">
        <v>1217</v>
      </c>
      <c r="B325" s="17">
        <v>44885</v>
      </c>
      <c r="C325" s="17">
        <v>44885</v>
      </c>
      <c r="D325" t="s">
        <v>1218</v>
      </c>
      <c r="E325" t="s">
        <v>1219</v>
      </c>
    </row>
    <row r="326" spans="1:5" x14ac:dyDescent="0.3">
      <c r="A326" t="s">
        <v>1220</v>
      </c>
      <c r="B326" s="17">
        <v>44886</v>
      </c>
      <c r="C326" s="17">
        <v>44886</v>
      </c>
      <c r="D326" t="s">
        <v>1221</v>
      </c>
      <c r="E326" t="s">
        <v>295</v>
      </c>
    </row>
    <row r="327" spans="1:5" x14ac:dyDescent="0.3">
      <c r="A327" t="s">
        <v>1222</v>
      </c>
      <c r="B327" s="17">
        <v>44887</v>
      </c>
      <c r="C327" s="17">
        <v>44887</v>
      </c>
      <c r="D327" t="s">
        <v>1223</v>
      </c>
      <c r="E327" t="s">
        <v>296</v>
      </c>
    </row>
    <row r="328" spans="1:5" x14ac:dyDescent="0.3">
      <c r="A328" t="s">
        <v>1224</v>
      </c>
      <c r="B328" s="17">
        <v>44888</v>
      </c>
      <c r="C328" s="17">
        <v>44888</v>
      </c>
      <c r="D328" t="s">
        <v>1225</v>
      </c>
      <c r="E328" t="s">
        <v>297</v>
      </c>
    </row>
    <row r="329" spans="1:5" x14ac:dyDescent="0.3">
      <c r="A329" t="s">
        <v>1226</v>
      </c>
      <c r="B329" s="17">
        <v>44889</v>
      </c>
      <c r="C329" s="17">
        <v>44889</v>
      </c>
      <c r="D329" t="s">
        <v>1227</v>
      </c>
      <c r="E329" t="s">
        <v>298</v>
      </c>
    </row>
    <row r="330" spans="1:5" x14ac:dyDescent="0.3">
      <c r="A330" t="s">
        <v>1228</v>
      </c>
      <c r="B330" s="17">
        <v>44890</v>
      </c>
      <c r="C330" s="17">
        <v>44890</v>
      </c>
      <c r="D330" t="s">
        <v>1229</v>
      </c>
      <c r="E330" t="s">
        <v>299</v>
      </c>
    </row>
    <row r="331" spans="1:5" x14ac:dyDescent="0.3">
      <c r="A331" t="s">
        <v>1230</v>
      </c>
      <c r="B331" s="17">
        <v>44891</v>
      </c>
      <c r="C331" s="17">
        <v>44891</v>
      </c>
      <c r="D331" t="s">
        <v>1133</v>
      </c>
      <c r="E331" t="s">
        <v>300</v>
      </c>
    </row>
    <row r="332" spans="1:5" x14ac:dyDescent="0.3">
      <c r="A332" t="s">
        <v>1231</v>
      </c>
      <c r="B332" s="17">
        <v>44892</v>
      </c>
      <c r="C332" s="17">
        <v>44892</v>
      </c>
      <c r="D332" t="s">
        <v>1232</v>
      </c>
      <c r="E332" t="s">
        <v>301</v>
      </c>
    </row>
    <row r="333" spans="1:5" x14ac:dyDescent="0.3">
      <c r="A333" t="s">
        <v>1233</v>
      </c>
      <c r="B333" s="17">
        <v>44893</v>
      </c>
      <c r="C333" s="17">
        <v>44893</v>
      </c>
      <c r="D333" t="s">
        <v>1234</v>
      </c>
      <c r="E333" t="s">
        <v>302</v>
      </c>
    </row>
    <row r="334" spans="1:5" x14ac:dyDescent="0.3">
      <c r="A334" t="s">
        <v>1235</v>
      </c>
      <c r="B334" s="17">
        <v>44894</v>
      </c>
      <c r="C334" s="17">
        <v>44894</v>
      </c>
      <c r="D334" t="s">
        <v>1236</v>
      </c>
      <c r="E334" t="s">
        <v>1237</v>
      </c>
    </row>
    <row r="335" spans="1:5" x14ac:dyDescent="0.3">
      <c r="A335" t="s">
        <v>1238</v>
      </c>
      <c r="B335" s="17">
        <v>44895</v>
      </c>
      <c r="C335" s="17">
        <v>44895</v>
      </c>
      <c r="D335" t="s">
        <v>1239</v>
      </c>
      <c r="E335" t="s">
        <v>303</v>
      </c>
    </row>
    <row r="336" spans="1:5" x14ac:dyDescent="0.3">
      <c r="A336" t="s">
        <v>1240</v>
      </c>
      <c r="B336" s="17">
        <v>44896</v>
      </c>
      <c r="C336" s="17">
        <v>44896</v>
      </c>
      <c r="D336" t="s">
        <v>1241</v>
      </c>
      <c r="E336" t="s">
        <v>304</v>
      </c>
    </row>
    <row r="337" spans="1:5" x14ac:dyDescent="0.3">
      <c r="A337" t="s">
        <v>1242</v>
      </c>
      <c r="B337" s="17">
        <v>44897</v>
      </c>
      <c r="C337" s="17">
        <v>44897</v>
      </c>
      <c r="D337" t="s">
        <v>1243</v>
      </c>
      <c r="E337" t="s">
        <v>305</v>
      </c>
    </row>
    <row r="338" spans="1:5" x14ac:dyDescent="0.3">
      <c r="A338" t="s">
        <v>1244</v>
      </c>
      <c r="B338" s="17">
        <v>44898</v>
      </c>
      <c r="C338" s="17">
        <v>44898</v>
      </c>
      <c r="D338" t="s">
        <v>1245</v>
      </c>
      <c r="E338" t="s">
        <v>1246</v>
      </c>
    </row>
    <row r="339" spans="1:5" x14ac:dyDescent="0.3">
      <c r="A339" t="s">
        <v>1247</v>
      </c>
      <c r="B339" s="17">
        <v>44899</v>
      </c>
      <c r="C339" s="17">
        <v>44899</v>
      </c>
      <c r="D339" t="s">
        <v>1248</v>
      </c>
      <c r="E339" t="s">
        <v>306</v>
      </c>
    </row>
    <row r="340" spans="1:5" x14ac:dyDescent="0.3">
      <c r="A340" t="s">
        <v>1249</v>
      </c>
      <c r="B340" s="17">
        <v>44900</v>
      </c>
      <c r="C340" s="17">
        <v>44900</v>
      </c>
      <c r="D340" t="s">
        <v>1250</v>
      </c>
      <c r="E340" t="s">
        <v>307</v>
      </c>
    </row>
    <row r="341" spans="1:5" x14ac:dyDescent="0.3">
      <c r="A341" t="s">
        <v>1251</v>
      </c>
      <c r="B341" s="17">
        <v>44901</v>
      </c>
      <c r="C341" s="17">
        <v>44901</v>
      </c>
      <c r="D341" t="s">
        <v>1252</v>
      </c>
      <c r="E341" t="s">
        <v>308</v>
      </c>
    </row>
    <row r="342" spans="1:5" x14ac:dyDescent="0.3">
      <c r="A342" t="s">
        <v>1253</v>
      </c>
      <c r="B342" s="17">
        <v>44902</v>
      </c>
      <c r="C342" s="17">
        <v>44902</v>
      </c>
      <c r="D342" t="s">
        <v>1254</v>
      </c>
      <c r="E342" t="s">
        <v>309</v>
      </c>
    </row>
    <row r="343" spans="1:5" x14ac:dyDescent="0.3">
      <c r="A343" t="s">
        <v>1255</v>
      </c>
      <c r="B343" s="17">
        <v>44903</v>
      </c>
      <c r="C343" s="17">
        <v>44903</v>
      </c>
      <c r="D343" t="s">
        <v>1256</v>
      </c>
      <c r="E343" t="s">
        <v>310</v>
      </c>
    </row>
    <row r="344" spans="1:5" x14ac:dyDescent="0.3">
      <c r="A344" t="s">
        <v>1257</v>
      </c>
      <c r="B344" s="17">
        <v>44904</v>
      </c>
      <c r="C344" s="17">
        <v>44904</v>
      </c>
      <c r="D344" t="s">
        <v>1258</v>
      </c>
      <c r="E344" t="s">
        <v>311</v>
      </c>
    </row>
    <row r="345" spans="1:5" x14ac:dyDescent="0.3">
      <c r="A345" t="s">
        <v>1259</v>
      </c>
      <c r="B345" s="17">
        <v>44905</v>
      </c>
      <c r="C345" s="17">
        <v>44905</v>
      </c>
      <c r="D345" t="s">
        <v>1094</v>
      </c>
      <c r="E345" t="s">
        <v>312</v>
      </c>
    </row>
    <row r="346" spans="1:5" x14ac:dyDescent="0.3">
      <c r="A346" t="s">
        <v>1260</v>
      </c>
      <c r="B346" s="17">
        <v>44906</v>
      </c>
      <c r="C346" s="17">
        <v>44906</v>
      </c>
      <c r="D346" t="s">
        <v>1261</v>
      </c>
      <c r="E346" t="s">
        <v>1262</v>
      </c>
    </row>
    <row r="347" spans="1:5" x14ac:dyDescent="0.3">
      <c r="A347" t="s">
        <v>1263</v>
      </c>
      <c r="B347" s="17">
        <v>44907</v>
      </c>
      <c r="C347" s="17">
        <v>44907</v>
      </c>
      <c r="D347" t="s">
        <v>1264</v>
      </c>
      <c r="E347" t="s">
        <v>313</v>
      </c>
    </row>
    <row r="348" spans="1:5" x14ac:dyDescent="0.3">
      <c r="A348" t="s">
        <v>1265</v>
      </c>
      <c r="B348" s="17">
        <v>44908</v>
      </c>
      <c r="C348" s="17">
        <v>44908</v>
      </c>
      <c r="D348" t="s">
        <v>1266</v>
      </c>
      <c r="E348" t="s">
        <v>314</v>
      </c>
    </row>
    <row r="349" spans="1:5" x14ac:dyDescent="0.3">
      <c r="A349" t="s">
        <v>1267</v>
      </c>
      <c r="B349" s="17">
        <v>44909</v>
      </c>
      <c r="C349" s="17">
        <v>44909</v>
      </c>
      <c r="D349" t="s">
        <v>1268</v>
      </c>
      <c r="E349" t="s">
        <v>315</v>
      </c>
    </row>
    <row r="350" spans="1:5" x14ac:dyDescent="0.3">
      <c r="A350" t="s">
        <v>1269</v>
      </c>
      <c r="B350" s="17">
        <v>44910</v>
      </c>
      <c r="C350" s="17">
        <v>44910</v>
      </c>
      <c r="D350" t="s">
        <v>1270</v>
      </c>
      <c r="E350" t="s">
        <v>316</v>
      </c>
    </row>
    <row r="351" spans="1:5" x14ac:dyDescent="0.3">
      <c r="A351" t="s">
        <v>1271</v>
      </c>
      <c r="B351" s="17">
        <v>44911</v>
      </c>
      <c r="C351" s="17">
        <v>44911</v>
      </c>
      <c r="D351" t="s">
        <v>1078</v>
      </c>
      <c r="E351" t="s">
        <v>1272</v>
      </c>
    </row>
    <row r="352" spans="1:5" x14ac:dyDescent="0.3">
      <c r="A352" t="s">
        <v>1273</v>
      </c>
      <c r="B352" s="17">
        <v>44912</v>
      </c>
      <c r="C352" s="17">
        <v>44912</v>
      </c>
      <c r="D352" t="s">
        <v>1274</v>
      </c>
      <c r="E352" t="s">
        <v>317</v>
      </c>
    </row>
    <row r="353" spans="1:5" x14ac:dyDescent="0.3">
      <c r="A353" t="s">
        <v>1275</v>
      </c>
      <c r="B353" s="17">
        <v>44913</v>
      </c>
      <c r="C353" s="17">
        <v>44913</v>
      </c>
      <c r="D353" t="s">
        <v>1276</v>
      </c>
      <c r="E353" t="s">
        <v>318</v>
      </c>
    </row>
    <row r="354" spans="1:5" x14ac:dyDescent="0.3">
      <c r="A354" t="s">
        <v>1277</v>
      </c>
      <c r="B354" s="17">
        <v>44914</v>
      </c>
      <c r="C354" s="17">
        <v>44914</v>
      </c>
      <c r="D354" t="s">
        <v>1278</v>
      </c>
      <c r="E354" t="s">
        <v>319</v>
      </c>
    </row>
    <row r="355" spans="1:5" x14ac:dyDescent="0.3">
      <c r="A355" t="s">
        <v>1279</v>
      </c>
      <c r="B355" s="17">
        <v>44915</v>
      </c>
      <c r="C355" s="17">
        <v>44915</v>
      </c>
      <c r="D355" t="s">
        <v>1280</v>
      </c>
      <c r="E355" t="s">
        <v>320</v>
      </c>
    </row>
    <row r="356" spans="1:5" x14ac:dyDescent="0.3">
      <c r="A356" t="s">
        <v>1281</v>
      </c>
      <c r="B356" s="17">
        <v>44916</v>
      </c>
      <c r="C356" s="17">
        <v>44916</v>
      </c>
      <c r="D356" t="s">
        <v>874</v>
      </c>
      <c r="E356" t="s">
        <v>321</v>
      </c>
    </row>
    <row r="357" spans="1:5" x14ac:dyDescent="0.3">
      <c r="A357" t="s">
        <v>1282</v>
      </c>
      <c r="B357" s="17">
        <v>44917</v>
      </c>
      <c r="C357" s="17">
        <v>44917</v>
      </c>
      <c r="D357" t="s">
        <v>880</v>
      </c>
      <c r="E357" t="s">
        <v>322</v>
      </c>
    </row>
    <row r="358" spans="1:5" x14ac:dyDescent="0.3">
      <c r="A358" t="s">
        <v>1283</v>
      </c>
      <c r="B358" s="17">
        <v>44918</v>
      </c>
      <c r="C358" s="17">
        <v>44918</v>
      </c>
      <c r="D358" t="s">
        <v>1284</v>
      </c>
      <c r="E358" t="s">
        <v>323</v>
      </c>
    </row>
    <row r="359" spans="1:5" x14ac:dyDescent="0.3">
      <c r="A359" t="s">
        <v>1285</v>
      </c>
      <c r="B359" s="17">
        <v>44919</v>
      </c>
      <c r="C359" s="17">
        <v>44919</v>
      </c>
      <c r="D359" t="s">
        <v>1286</v>
      </c>
      <c r="E359" t="s">
        <v>324</v>
      </c>
    </row>
    <row r="360" spans="1:5" x14ac:dyDescent="0.3">
      <c r="A360" t="s">
        <v>1287</v>
      </c>
      <c r="B360" s="17">
        <v>44920</v>
      </c>
      <c r="C360" s="17">
        <v>44920</v>
      </c>
      <c r="D360" t="s">
        <v>1288</v>
      </c>
      <c r="E360" t="s">
        <v>325</v>
      </c>
    </row>
    <row r="361" spans="1:5" x14ac:dyDescent="0.3">
      <c r="A361" t="s">
        <v>1289</v>
      </c>
      <c r="B361" s="17">
        <v>44921</v>
      </c>
      <c r="C361" s="17">
        <v>44921</v>
      </c>
      <c r="D361" t="s">
        <v>899</v>
      </c>
      <c r="E361" t="s">
        <v>326</v>
      </c>
    </row>
    <row r="362" spans="1:5" x14ac:dyDescent="0.3">
      <c r="A362" t="s">
        <v>1290</v>
      </c>
      <c r="B362" s="17">
        <v>44922</v>
      </c>
      <c r="C362" s="17">
        <v>44922</v>
      </c>
      <c r="D362" t="s">
        <v>1291</v>
      </c>
      <c r="E362" t="s">
        <v>327</v>
      </c>
    </row>
    <row r="363" spans="1:5" x14ac:dyDescent="0.3">
      <c r="A363" t="s">
        <v>1292</v>
      </c>
      <c r="B363" s="17">
        <v>44923</v>
      </c>
      <c r="C363" s="17">
        <v>44923</v>
      </c>
      <c r="D363" t="s">
        <v>1293</v>
      </c>
      <c r="E363" t="s">
        <v>328</v>
      </c>
    </row>
    <row r="364" spans="1:5" x14ac:dyDescent="0.3">
      <c r="A364" t="s">
        <v>1294</v>
      </c>
      <c r="B364" s="17">
        <v>44924</v>
      </c>
      <c r="C364" s="17">
        <v>44924</v>
      </c>
      <c r="D364" t="s">
        <v>1295</v>
      </c>
      <c r="E364" t="s">
        <v>329</v>
      </c>
    </row>
    <row r="365" spans="1:5" x14ac:dyDescent="0.3">
      <c r="A365" t="s">
        <v>1296</v>
      </c>
      <c r="B365" s="17">
        <v>44925</v>
      </c>
      <c r="C365" s="17">
        <v>44925</v>
      </c>
      <c r="D365" t="s">
        <v>1297</v>
      </c>
      <c r="E365" t="s">
        <v>330</v>
      </c>
    </row>
    <row r="366" spans="1:5" x14ac:dyDescent="0.3">
      <c r="A366" t="s">
        <v>1298</v>
      </c>
      <c r="B366" s="17">
        <v>44926</v>
      </c>
      <c r="C366" s="17">
        <v>44926</v>
      </c>
      <c r="D366" t="s">
        <v>1299</v>
      </c>
      <c r="E366" t="s">
        <v>1300</v>
      </c>
    </row>
    <row r="367" spans="1:5" x14ac:dyDescent="0.3">
      <c r="A367" t="s">
        <v>1301</v>
      </c>
      <c r="B367" s="17">
        <v>44927</v>
      </c>
      <c r="C367" s="17">
        <v>44927</v>
      </c>
      <c r="D367" t="s">
        <v>1302</v>
      </c>
      <c r="E367" t="s">
        <v>331</v>
      </c>
    </row>
    <row r="368" spans="1:5" x14ac:dyDescent="0.3">
      <c r="A368" t="s">
        <v>1303</v>
      </c>
      <c r="B368" s="17">
        <v>44928</v>
      </c>
      <c r="C368" s="17">
        <v>44928</v>
      </c>
      <c r="D368" t="s">
        <v>1304</v>
      </c>
      <c r="E368" t="s">
        <v>332</v>
      </c>
    </row>
    <row r="369" spans="1:5" x14ac:dyDescent="0.3">
      <c r="A369" t="s">
        <v>1305</v>
      </c>
      <c r="B369" s="17">
        <v>44929</v>
      </c>
      <c r="C369" s="17">
        <v>44929</v>
      </c>
      <c r="D369" t="s">
        <v>1306</v>
      </c>
      <c r="E369" t="s">
        <v>333</v>
      </c>
    </row>
    <row r="370" spans="1:5" x14ac:dyDescent="0.3">
      <c r="A370" t="s">
        <v>1307</v>
      </c>
      <c r="B370" s="17">
        <v>44930</v>
      </c>
      <c r="C370" s="17">
        <v>44930</v>
      </c>
      <c r="D370" t="s">
        <v>939</v>
      </c>
      <c r="E370" t="s">
        <v>334</v>
      </c>
    </row>
    <row r="371" spans="1:5" x14ac:dyDescent="0.3">
      <c r="A371" t="s">
        <v>1308</v>
      </c>
      <c r="B371" s="17">
        <v>44931</v>
      </c>
      <c r="C371" s="17">
        <v>44931</v>
      </c>
      <c r="D371" t="s">
        <v>1309</v>
      </c>
      <c r="E371" t="s">
        <v>335</v>
      </c>
    </row>
    <row r="372" spans="1:5" x14ac:dyDescent="0.3">
      <c r="A372" t="s">
        <v>1310</v>
      </c>
      <c r="B372" s="17">
        <v>44932</v>
      </c>
      <c r="C372" s="17">
        <v>44932</v>
      </c>
      <c r="D372" t="s">
        <v>1311</v>
      </c>
      <c r="E372" t="s">
        <v>336</v>
      </c>
    </row>
    <row r="373" spans="1:5" x14ac:dyDescent="0.3">
      <c r="A373" t="s">
        <v>1312</v>
      </c>
      <c r="B373" s="17">
        <v>44933</v>
      </c>
      <c r="C373" s="17">
        <v>44933</v>
      </c>
      <c r="D373" t="s">
        <v>1313</v>
      </c>
      <c r="E373" t="s">
        <v>337</v>
      </c>
    </row>
    <row r="374" spans="1:5" x14ac:dyDescent="0.3">
      <c r="A374" t="s">
        <v>1314</v>
      </c>
      <c r="B374" s="17">
        <v>44934</v>
      </c>
      <c r="C374" s="17">
        <v>44934</v>
      </c>
      <c r="D374" t="s">
        <v>734</v>
      </c>
      <c r="E374" t="s">
        <v>338</v>
      </c>
    </row>
    <row r="375" spans="1:5" x14ac:dyDescent="0.3">
      <c r="A375" t="s">
        <v>1315</v>
      </c>
      <c r="B375" s="17">
        <v>44935</v>
      </c>
      <c r="C375" s="17">
        <v>44935</v>
      </c>
      <c r="D375" t="s">
        <v>1316</v>
      </c>
      <c r="E375" t="s">
        <v>339</v>
      </c>
    </row>
    <row r="376" spans="1:5" x14ac:dyDescent="0.3">
      <c r="A376" t="s">
        <v>1317</v>
      </c>
      <c r="B376" s="17">
        <v>44936</v>
      </c>
      <c r="C376" s="17">
        <v>44936</v>
      </c>
      <c r="D376" t="s">
        <v>1318</v>
      </c>
      <c r="E376" t="s">
        <v>340</v>
      </c>
    </row>
    <row r="377" spans="1:5" x14ac:dyDescent="0.3">
      <c r="A377" t="s">
        <v>1319</v>
      </c>
      <c r="B377" s="17">
        <v>44937</v>
      </c>
      <c r="C377" s="17">
        <v>44937</v>
      </c>
      <c r="D377" t="s">
        <v>1320</v>
      </c>
      <c r="E377" t="s">
        <v>1321</v>
      </c>
    </row>
    <row r="378" spans="1:5" x14ac:dyDescent="0.3">
      <c r="A378" t="s">
        <v>1322</v>
      </c>
      <c r="B378" s="17">
        <v>44938</v>
      </c>
      <c r="C378" s="17">
        <v>44938</v>
      </c>
      <c r="D378" t="s">
        <v>1323</v>
      </c>
      <c r="E378" t="s">
        <v>341</v>
      </c>
    </row>
    <row r="379" spans="1:5" x14ac:dyDescent="0.3">
      <c r="A379" t="s">
        <v>1324</v>
      </c>
      <c r="B379" s="17">
        <v>44939</v>
      </c>
      <c r="C379" s="17">
        <v>44939</v>
      </c>
      <c r="D379" t="s">
        <v>1325</v>
      </c>
      <c r="E379" t="s">
        <v>342</v>
      </c>
    </row>
    <row r="380" spans="1:5" x14ac:dyDescent="0.3">
      <c r="A380" t="s">
        <v>1326</v>
      </c>
      <c r="B380" s="17">
        <v>44940</v>
      </c>
      <c r="C380" s="17">
        <v>44940</v>
      </c>
      <c r="D380" t="s">
        <v>1327</v>
      </c>
      <c r="E380" t="s">
        <v>343</v>
      </c>
    </row>
    <row r="381" spans="1:5" x14ac:dyDescent="0.3">
      <c r="A381" t="s">
        <v>1328</v>
      </c>
      <c r="B381" s="17">
        <v>44941</v>
      </c>
      <c r="C381" s="17">
        <v>44941</v>
      </c>
      <c r="D381" t="s">
        <v>1329</v>
      </c>
      <c r="E381" t="s">
        <v>344</v>
      </c>
    </row>
    <row r="382" spans="1:5" x14ac:dyDescent="0.3">
      <c r="A382" t="s">
        <v>1330</v>
      </c>
      <c r="B382" s="17">
        <v>44942</v>
      </c>
      <c r="C382" s="17">
        <v>44942</v>
      </c>
      <c r="D382" t="s">
        <v>1331</v>
      </c>
      <c r="E382" t="s">
        <v>345</v>
      </c>
    </row>
    <row r="383" spans="1:5" x14ac:dyDescent="0.3">
      <c r="A383" t="s">
        <v>1332</v>
      </c>
      <c r="B383" s="17">
        <v>44943</v>
      </c>
      <c r="C383" s="17">
        <v>44943</v>
      </c>
      <c r="D383" t="s">
        <v>1333</v>
      </c>
      <c r="E383" t="s">
        <v>346</v>
      </c>
    </row>
    <row r="384" spans="1:5" x14ac:dyDescent="0.3">
      <c r="A384" t="s">
        <v>1334</v>
      </c>
      <c r="B384" s="17">
        <v>44944</v>
      </c>
      <c r="C384" s="17">
        <v>44944</v>
      </c>
      <c r="D384" t="s">
        <v>1335</v>
      </c>
      <c r="E384" t="s">
        <v>347</v>
      </c>
    </row>
    <row r="385" spans="1:5" x14ac:dyDescent="0.3">
      <c r="A385" t="s">
        <v>1336</v>
      </c>
      <c r="B385" s="17">
        <v>44945</v>
      </c>
      <c r="C385" s="17">
        <v>44945</v>
      </c>
      <c r="D385" t="s">
        <v>1337</v>
      </c>
      <c r="E385" t="s">
        <v>348</v>
      </c>
    </row>
    <row r="386" spans="1:5" x14ac:dyDescent="0.3">
      <c r="A386" t="s">
        <v>1338</v>
      </c>
      <c r="B386" s="17">
        <v>44946</v>
      </c>
      <c r="C386" s="17">
        <v>44946</v>
      </c>
      <c r="D386" t="s">
        <v>1339</v>
      </c>
      <c r="E386" t="s">
        <v>1340</v>
      </c>
    </row>
    <row r="387" spans="1:5" x14ac:dyDescent="0.3">
      <c r="A387" t="s">
        <v>1341</v>
      </c>
      <c r="B387" s="17">
        <v>44947</v>
      </c>
      <c r="C387" s="17">
        <v>44947</v>
      </c>
      <c r="D387" t="s">
        <v>1342</v>
      </c>
      <c r="E387" t="s">
        <v>349</v>
      </c>
    </row>
    <row r="388" spans="1:5" x14ac:dyDescent="0.3">
      <c r="A388" t="s">
        <v>1343</v>
      </c>
      <c r="B388" s="17">
        <v>44948</v>
      </c>
      <c r="C388" s="17">
        <v>44948</v>
      </c>
      <c r="D388" t="s">
        <v>1344</v>
      </c>
      <c r="E388" t="s">
        <v>350</v>
      </c>
    </row>
    <row r="389" spans="1:5" x14ac:dyDescent="0.3">
      <c r="A389" t="s">
        <v>1345</v>
      </c>
      <c r="B389" s="17">
        <v>44949</v>
      </c>
      <c r="C389" s="17">
        <v>44949</v>
      </c>
      <c r="D389" t="s">
        <v>1346</v>
      </c>
      <c r="E389" t="s">
        <v>351</v>
      </c>
    </row>
    <row r="390" spans="1:5" x14ac:dyDescent="0.3">
      <c r="A390" t="s">
        <v>1347</v>
      </c>
      <c r="B390" s="17">
        <v>44950</v>
      </c>
      <c r="C390" s="17">
        <v>44950</v>
      </c>
      <c r="D390" t="s">
        <v>1348</v>
      </c>
      <c r="E390" t="s">
        <v>352</v>
      </c>
    </row>
    <row r="391" spans="1:5" x14ac:dyDescent="0.3">
      <c r="A391" t="s">
        <v>1349</v>
      </c>
      <c r="B391" s="17">
        <v>44951</v>
      </c>
      <c r="C391" s="17">
        <v>44951</v>
      </c>
      <c r="D391" t="s">
        <v>1350</v>
      </c>
      <c r="E391" t="s">
        <v>353</v>
      </c>
    </row>
    <row r="392" spans="1:5" x14ac:dyDescent="0.3">
      <c r="A392" t="s">
        <v>1351</v>
      </c>
      <c r="B392" s="17">
        <v>44952</v>
      </c>
      <c r="C392" s="17">
        <v>44952</v>
      </c>
      <c r="D392" t="s">
        <v>1352</v>
      </c>
      <c r="E392" t="s">
        <v>354</v>
      </c>
    </row>
    <row r="393" spans="1:5" x14ac:dyDescent="0.3">
      <c r="A393" t="s">
        <v>1353</v>
      </c>
      <c r="B393" s="17">
        <v>44953</v>
      </c>
      <c r="C393" s="17">
        <v>44953</v>
      </c>
      <c r="D393" t="s">
        <v>1354</v>
      </c>
      <c r="E393" t="s">
        <v>355</v>
      </c>
    </row>
    <row r="394" spans="1:5" x14ac:dyDescent="0.3">
      <c r="A394" t="s">
        <v>1355</v>
      </c>
      <c r="B394" s="17">
        <v>44954</v>
      </c>
      <c r="C394" s="17">
        <v>44954</v>
      </c>
      <c r="D394" t="s">
        <v>686</v>
      </c>
      <c r="E394" t="s">
        <v>1356</v>
      </c>
    </row>
    <row r="395" spans="1:5" x14ac:dyDescent="0.3">
      <c r="A395" t="s">
        <v>1357</v>
      </c>
      <c r="B395" s="17">
        <v>44955</v>
      </c>
      <c r="C395" s="17">
        <v>44955</v>
      </c>
      <c r="D395" t="s">
        <v>1358</v>
      </c>
      <c r="E395" t="s">
        <v>356</v>
      </c>
    </row>
    <row r="396" spans="1:5" x14ac:dyDescent="0.3">
      <c r="A396" t="s">
        <v>1359</v>
      </c>
      <c r="B396" s="17">
        <v>44956</v>
      </c>
      <c r="C396" s="17">
        <v>44956</v>
      </c>
      <c r="D396" t="s">
        <v>1360</v>
      </c>
      <c r="E396" t="s">
        <v>357</v>
      </c>
    </row>
    <row r="397" spans="1:5" x14ac:dyDescent="0.3">
      <c r="A397" t="s">
        <v>1361</v>
      </c>
      <c r="B397" s="17">
        <v>44957</v>
      </c>
      <c r="C397" s="17">
        <v>44957</v>
      </c>
      <c r="D397" t="s">
        <v>1362</v>
      </c>
      <c r="E397" t="s">
        <v>1363</v>
      </c>
    </row>
    <row r="398" spans="1:5" x14ac:dyDescent="0.3">
      <c r="A398" t="s">
        <v>1364</v>
      </c>
      <c r="B398" s="17">
        <v>44958</v>
      </c>
      <c r="C398" s="17">
        <v>44958</v>
      </c>
      <c r="D398" t="s">
        <v>1365</v>
      </c>
      <c r="E398" t="s">
        <v>1366</v>
      </c>
    </row>
    <row r="399" spans="1:5" x14ac:dyDescent="0.3">
      <c r="A399" t="s">
        <v>1367</v>
      </c>
      <c r="B399" s="17">
        <v>44959</v>
      </c>
      <c r="C399" s="17">
        <v>44959</v>
      </c>
      <c r="D399" t="s">
        <v>1368</v>
      </c>
      <c r="E399" t="s">
        <v>358</v>
      </c>
    </row>
    <row r="400" spans="1:5" x14ac:dyDescent="0.3">
      <c r="A400" t="s">
        <v>1369</v>
      </c>
      <c r="B400" s="17">
        <v>44960</v>
      </c>
      <c r="C400" s="17">
        <v>44960</v>
      </c>
      <c r="D400" t="s">
        <v>1370</v>
      </c>
      <c r="E400" t="s">
        <v>359</v>
      </c>
    </row>
    <row r="401" spans="1:5" x14ac:dyDescent="0.3">
      <c r="A401" t="s">
        <v>1371</v>
      </c>
      <c r="B401" s="17">
        <v>44961</v>
      </c>
      <c r="C401" s="17">
        <v>44961</v>
      </c>
      <c r="D401" t="s">
        <v>1372</v>
      </c>
      <c r="E401" t="s">
        <v>1373</v>
      </c>
    </row>
    <row r="402" spans="1:5" x14ac:dyDescent="0.3">
      <c r="A402" t="s">
        <v>1374</v>
      </c>
      <c r="B402" s="17">
        <v>44962</v>
      </c>
      <c r="C402" s="17">
        <v>44962</v>
      </c>
      <c r="D402" t="s">
        <v>1375</v>
      </c>
      <c r="E402" t="s">
        <v>360</v>
      </c>
    </row>
    <row r="403" spans="1:5" x14ac:dyDescent="0.3">
      <c r="A403" t="s">
        <v>1376</v>
      </c>
      <c r="B403" s="17">
        <v>44963</v>
      </c>
      <c r="C403" s="17">
        <v>44963</v>
      </c>
      <c r="D403" t="s">
        <v>1377</v>
      </c>
      <c r="E403" t="s">
        <v>361</v>
      </c>
    </row>
    <row r="404" spans="1:5" x14ac:dyDescent="0.3">
      <c r="A404" t="s">
        <v>1378</v>
      </c>
      <c r="B404" s="17">
        <v>44964</v>
      </c>
      <c r="C404" s="17">
        <v>44964</v>
      </c>
      <c r="D404" t="s">
        <v>1379</v>
      </c>
      <c r="E404" t="s">
        <v>362</v>
      </c>
    </row>
    <row r="405" spans="1:5" x14ac:dyDescent="0.3">
      <c r="A405" t="s">
        <v>1380</v>
      </c>
      <c r="B405" s="17">
        <v>44965</v>
      </c>
      <c r="C405" s="17">
        <v>44965</v>
      </c>
      <c r="D405" t="s">
        <v>1381</v>
      </c>
      <c r="E405" t="s">
        <v>1382</v>
      </c>
    </row>
    <row r="406" spans="1:5" x14ac:dyDescent="0.3">
      <c r="A406" t="s">
        <v>1383</v>
      </c>
      <c r="B406" s="17">
        <v>44966</v>
      </c>
      <c r="C406" s="17">
        <v>44966</v>
      </c>
      <c r="D406" t="s">
        <v>656</v>
      </c>
      <c r="E406" t="s">
        <v>1384</v>
      </c>
    </row>
    <row r="407" spans="1:5" x14ac:dyDescent="0.3">
      <c r="A407" t="s">
        <v>1385</v>
      </c>
      <c r="B407" s="17">
        <v>44967</v>
      </c>
      <c r="C407" s="17">
        <v>44967</v>
      </c>
      <c r="D407" t="s">
        <v>658</v>
      </c>
      <c r="E407" t="s">
        <v>1386</v>
      </c>
    </row>
    <row r="408" spans="1:5" x14ac:dyDescent="0.3">
      <c r="A408" t="s">
        <v>1387</v>
      </c>
      <c r="B408" s="17">
        <v>44968</v>
      </c>
      <c r="C408" s="17">
        <v>44968</v>
      </c>
      <c r="D408" t="s">
        <v>658</v>
      </c>
      <c r="E408" t="s">
        <v>363</v>
      </c>
    </row>
    <row r="409" spans="1:5" x14ac:dyDescent="0.3">
      <c r="A409" t="s">
        <v>1388</v>
      </c>
      <c r="B409" s="17">
        <v>44969</v>
      </c>
      <c r="C409" s="17">
        <v>44969</v>
      </c>
      <c r="D409" t="s">
        <v>658</v>
      </c>
      <c r="E409" t="s">
        <v>364</v>
      </c>
    </row>
    <row r="410" spans="1:5" x14ac:dyDescent="0.3">
      <c r="A410" t="s">
        <v>1389</v>
      </c>
      <c r="B410" s="17">
        <v>44970</v>
      </c>
      <c r="C410" s="17">
        <v>44970</v>
      </c>
      <c r="D410" t="s">
        <v>656</v>
      </c>
      <c r="E410" t="s">
        <v>1390</v>
      </c>
    </row>
    <row r="411" spans="1:5" x14ac:dyDescent="0.3">
      <c r="A411" t="s">
        <v>1391</v>
      </c>
      <c r="B411" s="17">
        <v>44971</v>
      </c>
      <c r="C411" s="17">
        <v>44971</v>
      </c>
      <c r="D411" t="s">
        <v>1381</v>
      </c>
      <c r="E411" t="s">
        <v>365</v>
      </c>
    </row>
    <row r="412" spans="1:5" x14ac:dyDescent="0.3">
      <c r="A412" t="s">
        <v>1392</v>
      </c>
      <c r="B412" s="17">
        <v>44972</v>
      </c>
      <c r="C412" s="17">
        <v>44972</v>
      </c>
      <c r="D412" t="s">
        <v>668</v>
      </c>
      <c r="E412" t="s">
        <v>366</v>
      </c>
    </row>
    <row r="413" spans="1:5" x14ac:dyDescent="0.3">
      <c r="A413" t="s">
        <v>1393</v>
      </c>
      <c r="B413" s="17">
        <v>44973</v>
      </c>
      <c r="C413" s="17">
        <v>44973</v>
      </c>
      <c r="D413" t="s">
        <v>652</v>
      </c>
      <c r="E413" t="s">
        <v>1394</v>
      </c>
    </row>
    <row r="414" spans="1:5" x14ac:dyDescent="0.3">
      <c r="A414" t="s">
        <v>1395</v>
      </c>
      <c r="B414" s="17">
        <v>44974</v>
      </c>
      <c r="C414" s="17">
        <v>44974</v>
      </c>
      <c r="D414" t="s">
        <v>650</v>
      </c>
      <c r="E414" t="s">
        <v>367</v>
      </c>
    </row>
    <row r="415" spans="1:5" x14ac:dyDescent="0.3">
      <c r="A415" t="s">
        <v>1396</v>
      </c>
      <c r="B415" s="17">
        <v>44975</v>
      </c>
      <c r="C415" s="17">
        <v>44975</v>
      </c>
      <c r="D415" t="s">
        <v>648</v>
      </c>
      <c r="E415" t="s">
        <v>368</v>
      </c>
    </row>
    <row r="416" spans="1:5" x14ac:dyDescent="0.3">
      <c r="A416" t="s">
        <v>1397</v>
      </c>
      <c r="B416" s="17">
        <v>44976</v>
      </c>
      <c r="C416" s="17">
        <v>44976</v>
      </c>
      <c r="D416" t="s">
        <v>1398</v>
      </c>
      <c r="E416" t="s">
        <v>369</v>
      </c>
    </row>
    <row r="417" spans="1:5" x14ac:dyDescent="0.3">
      <c r="A417" t="s">
        <v>1399</v>
      </c>
      <c r="B417" s="17">
        <v>44977</v>
      </c>
      <c r="C417" s="17">
        <v>44977</v>
      </c>
      <c r="D417" t="s">
        <v>1400</v>
      </c>
      <c r="E417" t="s">
        <v>370</v>
      </c>
    </row>
    <row r="418" spans="1:5" x14ac:dyDescent="0.3">
      <c r="A418" t="s">
        <v>1401</v>
      </c>
      <c r="B418" s="17">
        <v>44978</v>
      </c>
      <c r="C418" s="17">
        <v>44978</v>
      </c>
      <c r="D418" t="s">
        <v>1402</v>
      </c>
      <c r="E418" t="s">
        <v>371</v>
      </c>
    </row>
    <row r="419" spans="1:5" x14ac:dyDescent="0.3">
      <c r="A419" t="s">
        <v>1403</v>
      </c>
      <c r="B419" s="17">
        <v>44979</v>
      </c>
      <c r="C419" s="17">
        <v>44979</v>
      </c>
      <c r="D419" t="s">
        <v>1404</v>
      </c>
      <c r="E419" t="s">
        <v>372</v>
      </c>
    </row>
    <row r="420" spans="1:5" x14ac:dyDescent="0.3">
      <c r="A420" t="s">
        <v>1405</v>
      </c>
      <c r="B420" s="17">
        <v>44980</v>
      </c>
      <c r="C420" s="17">
        <v>44980</v>
      </c>
      <c r="D420" t="s">
        <v>1406</v>
      </c>
      <c r="E420" t="s">
        <v>1407</v>
      </c>
    </row>
    <row r="421" spans="1:5" x14ac:dyDescent="0.3">
      <c r="A421" t="s">
        <v>1408</v>
      </c>
      <c r="B421" s="17">
        <v>44981</v>
      </c>
      <c r="C421" s="17">
        <v>44981</v>
      </c>
      <c r="D421" t="s">
        <v>1409</v>
      </c>
      <c r="E421" t="s">
        <v>373</v>
      </c>
    </row>
    <row r="422" spans="1:5" x14ac:dyDescent="0.3">
      <c r="A422" t="s">
        <v>1410</v>
      </c>
      <c r="B422" s="17">
        <v>44982</v>
      </c>
      <c r="C422" s="17">
        <v>44982</v>
      </c>
      <c r="D422" t="s">
        <v>1411</v>
      </c>
      <c r="E422" t="s">
        <v>374</v>
      </c>
    </row>
    <row r="423" spans="1:5" x14ac:dyDescent="0.3">
      <c r="A423" t="s">
        <v>1412</v>
      </c>
      <c r="B423" s="17">
        <v>44983</v>
      </c>
      <c r="C423" s="17">
        <v>44983</v>
      </c>
      <c r="D423" t="s">
        <v>1413</v>
      </c>
      <c r="E423" t="s">
        <v>375</v>
      </c>
    </row>
    <row r="424" spans="1:5" x14ac:dyDescent="0.3">
      <c r="A424" t="s">
        <v>1414</v>
      </c>
      <c r="B424" s="17">
        <v>44984</v>
      </c>
      <c r="C424" s="17">
        <v>44984</v>
      </c>
      <c r="D424" t="s">
        <v>632</v>
      </c>
      <c r="E424" t="s">
        <v>1415</v>
      </c>
    </row>
    <row r="425" spans="1:5" x14ac:dyDescent="0.3">
      <c r="A425" t="s">
        <v>1416</v>
      </c>
      <c r="B425" s="17">
        <v>44985</v>
      </c>
      <c r="C425" s="17">
        <v>44985</v>
      </c>
      <c r="D425" t="s">
        <v>1417</v>
      </c>
      <c r="E425" t="s">
        <v>1418</v>
      </c>
    </row>
    <row r="426" spans="1:5" x14ac:dyDescent="0.3">
      <c r="A426" t="s">
        <v>1419</v>
      </c>
      <c r="B426" s="17">
        <v>44986</v>
      </c>
      <c r="C426" s="17">
        <v>44986</v>
      </c>
      <c r="D426" t="s">
        <v>1420</v>
      </c>
      <c r="E426" t="s">
        <v>1421</v>
      </c>
    </row>
    <row r="427" spans="1:5" x14ac:dyDescent="0.3">
      <c r="A427" t="s">
        <v>1422</v>
      </c>
      <c r="B427" s="17">
        <v>44987</v>
      </c>
      <c r="C427" s="17">
        <v>44987</v>
      </c>
      <c r="D427" t="s">
        <v>1423</v>
      </c>
      <c r="E427" t="s">
        <v>376</v>
      </c>
    </row>
    <row r="428" spans="1:5" x14ac:dyDescent="0.3">
      <c r="A428" t="s">
        <v>1424</v>
      </c>
      <c r="B428" s="17">
        <v>44988</v>
      </c>
      <c r="C428" s="17">
        <v>44988</v>
      </c>
      <c r="D428" t="s">
        <v>1425</v>
      </c>
      <c r="E428" t="s">
        <v>1426</v>
      </c>
    </row>
    <row r="429" spans="1:5" x14ac:dyDescent="0.3">
      <c r="A429" t="s">
        <v>1427</v>
      </c>
      <c r="B429" s="17">
        <v>44989</v>
      </c>
      <c r="C429" s="17">
        <v>44989</v>
      </c>
      <c r="D429" t="s">
        <v>1346</v>
      </c>
      <c r="E429" t="s">
        <v>1428</v>
      </c>
    </row>
    <row r="430" spans="1:5" x14ac:dyDescent="0.3">
      <c r="A430" t="s">
        <v>1429</v>
      </c>
      <c r="B430" s="17">
        <v>44990</v>
      </c>
      <c r="C430" s="17">
        <v>44990</v>
      </c>
      <c r="D430" t="s">
        <v>1430</v>
      </c>
      <c r="E430" t="s">
        <v>1431</v>
      </c>
    </row>
    <row r="431" spans="1:5" x14ac:dyDescent="0.3">
      <c r="A431" t="s">
        <v>1432</v>
      </c>
      <c r="B431" s="17">
        <v>44991</v>
      </c>
      <c r="C431" s="17">
        <v>44991</v>
      </c>
      <c r="D431" t="s">
        <v>1433</v>
      </c>
      <c r="E431" t="s">
        <v>377</v>
      </c>
    </row>
    <row r="432" spans="1:5" x14ac:dyDescent="0.3">
      <c r="A432" t="s">
        <v>1434</v>
      </c>
      <c r="B432" s="17">
        <v>44992</v>
      </c>
      <c r="C432" s="17">
        <v>44992</v>
      </c>
      <c r="D432" t="s">
        <v>1435</v>
      </c>
      <c r="E432" t="s">
        <v>1436</v>
      </c>
    </row>
    <row r="433" spans="1:5" x14ac:dyDescent="0.3">
      <c r="A433" t="s">
        <v>1437</v>
      </c>
      <c r="B433" s="17">
        <v>44993</v>
      </c>
      <c r="C433" s="17">
        <v>44993</v>
      </c>
      <c r="D433" t="s">
        <v>1438</v>
      </c>
      <c r="E433" t="s">
        <v>1439</v>
      </c>
    </row>
    <row r="434" spans="1:5" x14ac:dyDescent="0.3">
      <c r="A434" t="s">
        <v>1440</v>
      </c>
      <c r="B434" s="17">
        <v>44994</v>
      </c>
      <c r="C434" s="17">
        <v>44994</v>
      </c>
      <c r="D434" t="s">
        <v>1441</v>
      </c>
      <c r="E434" t="s">
        <v>1442</v>
      </c>
    </row>
    <row r="435" spans="1:5" x14ac:dyDescent="0.3">
      <c r="A435" t="s">
        <v>1443</v>
      </c>
      <c r="B435" s="17">
        <v>44995</v>
      </c>
      <c r="C435" s="17">
        <v>44995</v>
      </c>
      <c r="D435" t="s">
        <v>1335</v>
      </c>
      <c r="E435" t="s">
        <v>378</v>
      </c>
    </row>
    <row r="436" spans="1:5" x14ac:dyDescent="0.3">
      <c r="A436" t="s">
        <v>1444</v>
      </c>
      <c r="B436" s="17">
        <v>44996</v>
      </c>
      <c r="C436" s="17">
        <v>44996</v>
      </c>
      <c r="D436" t="s">
        <v>1445</v>
      </c>
      <c r="E436" t="s">
        <v>1446</v>
      </c>
    </row>
    <row r="437" spans="1:5" x14ac:dyDescent="0.3">
      <c r="A437" t="s">
        <v>1447</v>
      </c>
      <c r="B437" s="17">
        <v>44997</v>
      </c>
      <c r="C437" s="17">
        <v>44997</v>
      </c>
      <c r="D437" t="s">
        <v>1448</v>
      </c>
      <c r="E437" t="s">
        <v>379</v>
      </c>
    </row>
    <row r="438" spans="1:5" x14ac:dyDescent="0.3">
      <c r="A438" t="s">
        <v>1449</v>
      </c>
      <c r="B438" s="17">
        <v>44998</v>
      </c>
      <c r="C438" s="17">
        <v>44998</v>
      </c>
      <c r="D438" t="s">
        <v>1450</v>
      </c>
      <c r="E438" t="s">
        <v>380</v>
      </c>
    </row>
    <row r="439" spans="1:5" x14ac:dyDescent="0.3">
      <c r="A439" t="s">
        <v>1451</v>
      </c>
      <c r="B439" s="17">
        <v>44999</v>
      </c>
      <c r="C439" s="17">
        <v>44999</v>
      </c>
      <c r="D439" t="s">
        <v>1452</v>
      </c>
      <c r="E439" t="s">
        <v>381</v>
      </c>
    </row>
    <row r="440" spans="1:5" x14ac:dyDescent="0.3">
      <c r="A440" t="s">
        <v>1453</v>
      </c>
      <c r="B440" s="17">
        <v>45000</v>
      </c>
      <c r="C440" s="17">
        <v>45000</v>
      </c>
      <c r="D440" t="s">
        <v>1454</v>
      </c>
      <c r="E440" t="s">
        <v>1455</v>
      </c>
    </row>
    <row r="441" spans="1:5" x14ac:dyDescent="0.3">
      <c r="A441" t="s">
        <v>1456</v>
      </c>
      <c r="B441" s="17">
        <v>45001</v>
      </c>
      <c r="C441" s="17">
        <v>45001</v>
      </c>
      <c r="D441" t="s">
        <v>604</v>
      </c>
      <c r="E441" t="s">
        <v>1457</v>
      </c>
    </row>
    <row r="442" spans="1:5" x14ac:dyDescent="0.3">
      <c r="A442" t="s">
        <v>1458</v>
      </c>
      <c r="B442" s="17">
        <v>45002</v>
      </c>
      <c r="C442" s="17">
        <v>45002</v>
      </c>
      <c r="D442" t="s">
        <v>1459</v>
      </c>
      <c r="E442" t="s">
        <v>1460</v>
      </c>
    </row>
    <row r="443" spans="1:5" x14ac:dyDescent="0.3">
      <c r="A443" t="s">
        <v>1461</v>
      </c>
      <c r="B443" s="17">
        <v>45003</v>
      </c>
      <c r="C443" s="17">
        <v>45003</v>
      </c>
      <c r="D443" t="s">
        <v>1462</v>
      </c>
      <c r="E443" t="s">
        <v>382</v>
      </c>
    </row>
    <row r="444" spans="1:5" x14ac:dyDescent="0.3">
      <c r="A444" t="s">
        <v>1463</v>
      </c>
      <c r="B444" s="17">
        <v>45004</v>
      </c>
      <c r="C444" s="17">
        <v>45004</v>
      </c>
      <c r="D444" t="s">
        <v>1464</v>
      </c>
      <c r="E444" t="s">
        <v>383</v>
      </c>
    </row>
    <row r="445" spans="1:5" x14ac:dyDescent="0.3">
      <c r="A445" t="s">
        <v>1465</v>
      </c>
      <c r="B445" s="17">
        <v>45005</v>
      </c>
      <c r="C445" s="17">
        <v>45005</v>
      </c>
      <c r="D445" t="s">
        <v>598</v>
      </c>
      <c r="E445" t="s">
        <v>384</v>
      </c>
    </row>
    <row r="446" spans="1:5" x14ac:dyDescent="0.3">
      <c r="A446" t="s">
        <v>1466</v>
      </c>
      <c r="B446" s="17">
        <v>45006</v>
      </c>
      <c r="C446" s="17">
        <v>45006</v>
      </c>
      <c r="D446" t="s">
        <v>1467</v>
      </c>
      <c r="E446" t="s">
        <v>1468</v>
      </c>
    </row>
    <row r="447" spans="1:5" x14ac:dyDescent="0.3">
      <c r="A447" t="s">
        <v>1469</v>
      </c>
      <c r="B447" s="17">
        <v>45007</v>
      </c>
      <c r="C447" s="17">
        <v>45007</v>
      </c>
      <c r="D447" t="s">
        <v>1470</v>
      </c>
      <c r="E447" t="s">
        <v>385</v>
      </c>
    </row>
    <row r="448" spans="1:5" x14ac:dyDescent="0.3">
      <c r="A448" t="s">
        <v>1471</v>
      </c>
      <c r="B448" s="17">
        <v>45008</v>
      </c>
      <c r="C448" s="17">
        <v>45008</v>
      </c>
      <c r="D448" t="s">
        <v>1472</v>
      </c>
      <c r="E448" t="s">
        <v>1473</v>
      </c>
    </row>
    <row r="449" spans="1:5" x14ac:dyDescent="0.3">
      <c r="A449" t="s">
        <v>1474</v>
      </c>
      <c r="B449" s="17">
        <v>45009</v>
      </c>
      <c r="C449" s="17">
        <v>45009</v>
      </c>
      <c r="D449" t="s">
        <v>1475</v>
      </c>
      <c r="E449" t="s">
        <v>386</v>
      </c>
    </row>
    <row r="450" spans="1:5" x14ac:dyDescent="0.3">
      <c r="A450" t="s">
        <v>1476</v>
      </c>
      <c r="B450" s="17">
        <v>45010</v>
      </c>
      <c r="C450" s="17">
        <v>45010</v>
      </c>
      <c r="D450" t="s">
        <v>1477</v>
      </c>
      <c r="E450" t="s">
        <v>1478</v>
      </c>
    </row>
    <row r="451" spans="1:5" x14ac:dyDescent="0.3">
      <c r="A451" t="s">
        <v>1479</v>
      </c>
      <c r="B451" s="17">
        <v>45011</v>
      </c>
      <c r="C451" s="17">
        <v>45011</v>
      </c>
      <c r="D451" t="s">
        <v>1480</v>
      </c>
      <c r="E451" t="s">
        <v>1481</v>
      </c>
    </row>
    <row r="452" spans="1:5" x14ac:dyDescent="0.3">
      <c r="A452" t="s">
        <v>1482</v>
      </c>
      <c r="B452" s="17">
        <v>45012</v>
      </c>
      <c r="C452" s="17">
        <v>45012</v>
      </c>
      <c r="D452" t="s">
        <v>947</v>
      </c>
      <c r="E452" t="s">
        <v>387</v>
      </c>
    </row>
    <row r="453" spans="1:5" x14ac:dyDescent="0.3">
      <c r="A453" t="s">
        <v>1483</v>
      </c>
      <c r="B453" s="17">
        <v>45013</v>
      </c>
      <c r="C453" s="17">
        <v>45013</v>
      </c>
      <c r="D453" t="s">
        <v>943</v>
      </c>
      <c r="E453" t="s">
        <v>388</v>
      </c>
    </row>
    <row r="454" spans="1:5" x14ac:dyDescent="0.3">
      <c r="A454" t="s">
        <v>1484</v>
      </c>
      <c r="B454" s="17">
        <v>45014</v>
      </c>
      <c r="C454" s="17">
        <v>45014</v>
      </c>
      <c r="D454" t="s">
        <v>1485</v>
      </c>
      <c r="E454" t="s">
        <v>389</v>
      </c>
    </row>
    <row r="455" spans="1:5" x14ac:dyDescent="0.3">
      <c r="A455" t="s">
        <v>1486</v>
      </c>
      <c r="B455" s="17">
        <v>45015</v>
      </c>
      <c r="C455" s="17">
        <v>45015</v>
      </c>
      <c r="D455" t="s">
        <v>1487</v>
      </c>
      <c r="E455" t="s">
        <v>1488</v>
      </c>
    </row>
    <row r="456" spans="1:5" x14ac:dyDescent="0.3">
      <c r="A456" t="s">
        <v>1489</v>
      </c>
      <c r="B456" s="17">
        <v>45016</v>
      </c>
      <c r="C456" s="17">
        <v>45016</v>
      </c>
      <c r="D456" t="s">
        <v>1490</v>
      </c>
      <c r="E456" t="s">
        <v>390</v>
      </c>
    </row>
    <row r="457" spans="1:5" x14ac:dyDescent="0.3">
      <c r="A457" t="s">
        <v>1491</v>
      </c>
      <c r="B457" s="17">
        <v>45017</v>
      </c>
      <c r="C457" s="17">
        <v>45017</v>
      </c>
      <c r="D457" t="s">
        <v>1492</v>
      </c>
      <c r="E457" t="s">
        <v>1493</v>
      </c>
    </row>
    <row r="458" spans="1:5" x14ac:dyDescent="0.3">
      <c r="A458" t="s">
        <v>1494</v>
      </c>
      <c r="B458" s="17">
        <v>45018</v>
      </c>
      <c r="C458" s="17">
        <v>45018</v>
      </c>
      <c r="D458" t="s">
        <v>1023</v>
      </c>
      <c r="E458" t="s">
        <v>391</v>
      </c>
    </row>
    <row r="459" spans="1:5" x14ac:dyDescent="0.3">
      <c r="A459" t="s">
        <v>1495</v>
      </c>
      <c r="B459" s="17">
        <v>45019</v>
      </c>
      <c r="C459" s="17">
        <v>45019</v>
      </c>
      <c r="D459" t="s">
        <v>1496</v>
      </c>
      <c r="E459" t="s">
        <v>392</v>
      </c>
    </row>
    <row r="460" spans="1:5" x14ac:dyDescent="0.3">
      <c r="A460" t="s">
        <v>1497</v>
      </c>
      <c r="B460" s="17">
        <v>45020</v>
      </c>
      <c r="C460" s="17">
        <v>45020</v>
      </c>
      <c r="D460" t="s">
        <v>1498</v>
      </c>
      <c r="E460" t="s">
        <v>1499</v>
      </c>
    </row>
    <row r="461" spans="1:5" x14ac:dyDescent="0.3">
      <c r="A461" t="s">
        <v>1500</v>
      </c>
      <c r="B461" s="17">
        <v>45021</v>
      </c>
      <c r="C461" s="17">
        <v>45021</v>
      </c>
      <c r="D461" t="s">
        <v>1501</v>
      </c>
      <c r="E461" t="s">
        <v>393</v>
      </c>
    </row>
    <row r="462" spans="1:5" x14ac:dyDescent="0.3">
      <c r="A462" t="s">
        <v>1502</v>
      </c>
      <c r="B462" s="17">
        <v>45022</v>
      </c>
      <c r="C462" s="17">
        <v>45022</v>
      </c>
      <c r="D462" t="s">
        <v>916</v>
      </c>
      <c r="E462" t="s">
        <v>1503</v>
      </c>
    </row>
    <row r="463" spans="1:5" x14ac:dyDescent="0.3">
      <c r="A463" t="s">
        <v>1504</v>
      </c>
      <c r="B463" s="17">
        <v>45023</v>
      </c>
      <c r="C463" s="17">
        <v>45023</v>
      </c>
      <c r="D463" t="s">
        <v>1505</v>
      </c>
      <c r="E463" t="s">
        <v>394</v>
      </c>
    </row>
    <row r="464" spans="1:5" x14ac:dyDescent="0.3">
      <c r="A464" t="s">
        <v>1506</v>
      </c>
      <c r="B464" s="17">
        <v>45024</v>
      </c>
      <c r="C464" s="17">
        <v>45024</v>
      </c>
      <c r="D464" t="s">
        <v>1507</v>
      </c>
      <c r="E464" t="s">
        <v>395</v>
      </c>
    </row>
    <row r="465" spans="1:5" x14ac:dyDescent="0.3">
      <c r="A465" t="s">
        <v>1508</v>
      </c>
      <c r="B465" s="17">
        <v>45025</v>
      </c>
      <c r="C465" s="17">
        <v>45025</v>
      </c>
      <c r="D465" t="s">
        <v>1509</v>
      </c>
      <c r="E465" t="s">
        <v>1510</v>
      </c>
    </row>
    <row r="466" spans="1:5" x14ac:dyDescent="0.3">
      <c r="A466" t="s">
        <v>1511</v>
      </c>
      <c r="B466" s="17">
        <v>45026</v>
      </c>
      <c r="C466" s="17">
        <v>45026</v>
      </c>
      <c r="D466" t="s">
        <v>1512</v>
      </c>
      <c r="E466" t="s">
        <v>396</v>
      </c>
    </row>
    <row r="467" spans="1:5" x14ac:dyDescent="0.3">
      <c r="A467" t="s">
        <v>1513</v>
      </c>
      <c r="B467" s="17">
        <v>45027</v>
      </c>
      <c r="C467" s="17">
        <v>45027</v>
      </c>
      <c r="D467" t="s">
        <v>1514</v>
      </c>
      <c r="E467" t="s">
        <v>397</v>
      </c>
    </row>
    <row r="468" spans="1:5" x14ac:dyDescent="0.3">
      <c r="A468" t="s">
        <v>1515</v>
      </c>
      <c r="B468" s="17">
        <v>45028</v>
      </c>
      <c r="C468" s="17">
        <v>45028</v>
      </c>
      <c r="D468" t="s">
        <v>1516</v>
      </c>
      <c r="E468" t="s">
        <v>398</v>
      </c>
    </row>
    <row r="469" spans="1:5" x14ac:dyDescent="0.3">
      <c r="A469" t="s">
        <v>1517</v>
      </c>
      <c r="B469" s="17">
        <v>45029</v>
      </c>
      <c r="C469" s="17">
        <v>45029</v>
      </c>
      <c r="D469" t="s">
        <v>1518</v>
      </c>
      <c r="E469" t="s">
        <v>399</v>
      </c>
    </row>
    <row r="470" spans="1:5" x14ac:dyDescent="0.3">
      <c r="A470" t="s">
        <v>1519</v>
      </c>
      <c r="B470" s="17">
        <v>45030</v>
      </c>
      <c r="C470" s="17">
        <v>45030</v>
      </c>
      <c r="D470" t="s">
        <v>1520</v>
      </c>
      <c r="E470" t="s">
        <v>400</v>
      </c>
    </row>
    <row r="471" spans="1:5" x14ac:dyDescent="0.3">
      <c r="A471" t="s">
        <v>1521</v>
      </c>
      <c r="B471" s="17">
        <v>45031</v>
      </c>
      <c r="C471" s="17">
        <v>45031</v>
      </c>
      <c r="D471" t="s">
        <v>1522</v>
      </c>
      <c r="E471" t="s">
        <v>1523</v>
      </c>
    </row>
    <row r="472" spans="1:5" x14ac:dyDescent="0.3">
      <c r="A472" t="s">
        <v>1524</v>
      </c>
      <c r="B472" s="17">
        <v>45032</v>
      </c>
      <c r="C472" s="17">
        <v>45032</v>
      </c>
      <c r="D472" t="s">
        <v>1525</v>
      </c>
      <c r="E472" t="s">
        <v>401</v>
      </c>
    </row>
    <row r="473" spans="1:5" x14ac:dyDescent="0.3">
      <c r="A473" t="s">
        <v>1526</v>
      </c>
      <c r="B473" s="17">
        <v>45033</v>
      </c>
      <c r="C473" s="17">
        <v>45033</v>
      </c>
      <c r="D473" t="s">
        <v>1527</v>
      </c>
      <c r="E473" t="s">
        <v>402</v>
      </c>
    </row>
    <row r="474" spans="1:5" x14ac:dyDescent="0.3">
      <c r="A474" t="s">
        <v>1528</v>
      </c>
      <c r="B474" s="17">
        <v>45034</v>
      </c>
      <c r="C474" s="17">
        <v>45034</v>
      </c>
      <c r="D474" t="s">
        <v>1529</v>
      </c>
      <c r="E474" t="s">
        <v>403</v>
      </c>
    </row>
    <row r="475" spans="1:5" x14ac:dyDescent="0.3">
      <c r="A475" t="s">
        <v>1530</v>
      </c>
      <c r="B475" s="17">
        <v>45035</v>
      </c>
      <c r="C475" s="17">
        <v>45035</v>
      </c>
      <c r="D475" t="s">
        <v>1531</v>
      </c>
      <c r="E475" t="s">
        <v>1532</v>
      </c>
    </row>
    <row r="476" spans="1:5" x14ac:dyDescent="0.3">
      <c r="A476" t="s">
        <v>1533</v>
      </c>
      <c r="B476" s="17">
        <v>45036</v>
      </c>
      <c r="C476" s="17">
        <v>45036</v>
      </c>
      <c r="D476" t="s">
        <v>1534</v>
      </c>
      <c r="E476" t="s">
        <v>404</v>
      </c>
    </row>
    <row r="477" spans="1:5" x14ac:dyDescent="0.3">
      <c r="A477" t="s">
        <v>1535</v>
      </c>
      <c r="B477" s="17">
        <v>45037</v>
      </c>
      <c r="C477" s="17">
        <v>45037</v>
      </c>
      <c r="D477" t="s">
        <v>1536</v>
      </c>
      <c r="E477" t="s">
        <v>1537</v>
      </c>
    </row>
    <row r="478" spans="1:5" x14ac:dyDescent="0.3">
      <c r="A478" t="s">
        <v>1538</v>
      </c>
      <c r="B478" s="17">
        <v>45038</v>
      </c>
      <c r="C478" s="17">
        <v>45038</v>
      </c>
      <c r="D478" t="s">
        <v>1539</v>
      </c>
      <c r="E478" t="s">
        <v>1540</v>
      </c>
    </row>
    <row r="479" spans="1:5" x14ac:dyDescent="0.3">
      <c r="A479" t="s">
        <v>1541</v>
      </c>
      <c r="B479" s="17">
        <v>45039</v>
      </c>
      <c r="C479" s="17">
        <v>45039</v>
      </c>
      <c r="D479" t="s">
        <v>878</v>
      </c>
      <c r="E479" t="s">
        <v>1542</v>
      </c>
    </row>
    <row r="480" spans="1:5" x14ac:dyDescent="0.3">
      <c r="A480" t="s">
        <v>1543</v>
      </c>
      <c r="B480" s="17">
        <v>45040</v>
      </c>
      <c r="C480" s="17">
        <v>45040</v>
      </c>
      <c r="D480" t="s">
        <v>1544</v>
      </c>
      <c r="E480" t="s">
        <v>405</v>
      </c>
    </row>
    <row r="481" spans="1:5" x14ac:dyDescent="0.3">
      <c r="A481" t="s">
        <v>1545</v>
      </c>
      <c r="B481" s="17">
        <v>45041</v>
      </c>
      <c r="C481" s="17">
        <v>45041</v>
      </c>
      <c r="D481" t="s">
        <v>1546</v>
      </c>
      <c r="E481" t="s">
        <v>406</v>
      </c>
    </row>
    <row r="482" spans="1:5" x14ac:dyDescent="0.3">
      <c r="A482" t="s">
        <v>1547</v>
      </c>
      <c r="B482" s="17">
        <v>45042</v>
      </c>
      <c r="C482" s="17">
        <v>45042</v>
      </c>
      <c r="D482" t="s">
        <v>1548</v>
      </c>
      <c r="E482" t="s">
        <v>407</v>
      </c>
    </row>
    <row r="483" spans="1:5" x14ac:dyDescent="0.3">
      <c r="A483" t="s">
        <v>1549</v>
      </c>
      <c r="B483" s="17">
        <v>45043</v>
      </c>
      <c r="C483" s="17">
        <v>45043</v>
      </c>
      <c r="D483" t="s">
        <v>1550</v>
      </c>
      <c r="E483" t="s">
        <v>408</v>
      </c>
    </row>
    <row r="484" spans="1:5" x14ac:dyDescent="0.3">
      <c r="A484" t="s">
        <v>1551</v>
      </c>
      <c r="B484" s="17">
        <v>45044</v>
      </c>
      <c r="C484" s="17">
        <v>45044</v>
      </c>
      <c r="D484" t="s">
        <v>1280</v>
      </c>
      <c r="E484" t="s">
        <v>1552</v>
      </c>
    </row>
    <row r="485" spans="1:5" x14ac:dyDescent="0.3">
      <c r="A485" t="s">
        <v>1553</v>
      </c>
      <c r="B485" s="17">
        <v>45045</v>
      </c>
      <c r="C485" s="17">
        <v>45045</v>
      </c>
      <c r="D485" t="s">
        <v>1554</v>
      </c>
      <c r="E485" t="s">
        <v>1555</v>
      </c>
    </row>
    <row r="486" spans="1:5" x14ac:dyDescent="0.3">
      <c r="A486" t="s">
        <v>1556</v>
      </c>
      <c r="B486" s="17">
        <v>45046</v>
      </c>
      <c r="C486" s="17">
        <v>45046</v>
      </c>
      <c r="D486" t="s">
        <v>1557</v>
      </c>
      <c r="E486" t="s">
        <v>1558</v>
      </c>
    </row>
    <row r="487" spans="1:5" x14ac:dyDescent="0.3">
      <c r="A487" t="s">
        <v>1559</v>
      </c>
      <c r="B487" s="17">
        <v>45047</v>
      </c>
      <c r="C487" s="17">
        <v>45047</v>
      </c>
      <c r="D487" t="s">
        <v>1560</v>
      </c>
      <c r="E487" t="s">
        <v>1561</v>
      </c>
    </row>
    <row r="488" spans="1:5" x14ac:dyDescent="0.3">
      <c r="A488" t="s">
        <v>1562</v>
      </c>
      <c r="B488" s="17">
        <v>45048</v>
      </c>
      <c r="C488" s="17">
        <v>45048</v>
      </c>
      <c r="D488" t="s">
        <v>1563</v>
      </c>
      <c r="E488" t="s">
        <v>409</v>
      </c>
    </row>
    <row r="489" spans="1:5" x14ac:dyDescent="0.3">
      <c r="A489" t="s">
        <v>1564</v>
      </c>
      <c r="B489" s="17">
        <v>45049</v>
      </c>
      <c r="C489" s="17">
        <v>45049</v>
      </c>
      <c r="D489" t="s">
        <v>1565</v>
      </c>
      <c r="E489" t="s">
        <v>1566</v>
      </c>
    </row>
    <row r="490" spans="1:5" x14ac:dyDescent="0.3">
      <c r="A490" t="s">
        <v>1567</v>
      </c>
      <c r="B490" s="17">
        <v>45050</v>
      </c>
      <c r="C490" s="17">
        <v>45050</v>
      </c>
      <c r="D490" t="s">
        <v>1568</v>
      </c>
      <c r="E490" t="s">
        <v>410</v>
      </c>
    </row>
    <row r="491" spans="1:5" x14ac:dyDescent="0.3">
      <c r="A491" t="s">
        <v>1569</v>
      </c>
      <c r="B491" s="17">
        <v>45051</v>
      </c>
      <c r="C491" s="17">
        <v>45051</v>
      </c>
      <c r="D491" t="s">
        <v>820</v>
      </c>
      <c r="E491" t="s">
        <v>411</v>
      </c>
    </row>
    <row r="492" spans="1:5" x14ac:dyDescent="0.3">
      <c r="A492" t="s">
        <v>1570</v>
      </c>
      <c r="B492" s="17">
        <v>45052</v>
      </c>
      <c r="C492" s="17">
        <v>45052</v>
      </c>
      <c r="D492" t="s">
        <v>822</v>
      </c>
      <c r="E492" t="s">
        <v>412</v>
      </c>
    </row>
    <row r="493" spans="1:5" x14ac:dyDescent="0.3">
      <c r="A493" t="s">
        <v>1571</v>
      </c>
      <c r="B493" s="17">
        <v>45053</v>
      </c>
      <c r="C493" s="17">
        <v>45053</v>
      </c>
      <c r="D493" t="s">
        <v>1572</v>
      </c>
      <c r="E493" t="s">
        <v>1573</v>
      </c>
    </row>
    <row r="494" spans="1:5" x14ac:dyDescent="0.3">
      <c r="A494" t="s">
        <v>1574</v>
      </c>
      <c r="B494" s="17">
        <v>45054</v>
      </c>
      <c r="C494" s="17">
        <v>45054</v>
      </c>
      <c r="D494" t="s">
        <v>826</v>
      </c>
      <c r="E494" t="s">
        <v>413</v>
      </c>
    </row>
    <row r="495" spans="1:5" x14ac:dyDescent="0.3">
      <c r="A495" t="s">
        <v>1575</v>
      </c>
      <c r="B495" s="17">
        <v>45055</v>
      </c>
      <c r="C495" s="17">
        <v>45055</v>
      </c>
      <c r="D495" t="s">
        <v>844</v>
      </c>
      <c r="E495" t="s">
        <v>1576</v>
      </c>
    </row>
    <row r="496" spans="1:5" x14ac:dyDescent="0.3">
      <c r="A496" t="s">
        <v>1577</v>
      </c>
      <c r="B496" s="17">
        <v>45056</v>
      </c>
      <c r="C496" s="17">
        <v>45056</v>
      </c>
      <c r="D496" t="s">
        <v>842</v>
      </c>
      <c r="E496" t="s">
        <v>414</v>
      </c>
    </row>
    <row r="497" spans="1:5" x14ac:dyDescent="0.3">
      <c r="A497" t="s">
        <v>1578</v>
      </c>
      <c r="B497" s="17">
        <v>45057</v>
      </c>
      <c r="C497" s="17">
        <v>45057</v>
      </c>
      <c r="D497" t="s">
        <v>835</v>
      </c>
      <c r="E497" t="s">
        <v>415</v>
      </c>
    </row>
    <row r="498" spans="1:5" x14ac:dyDescent="0.3">
      <c r="A498" t="s">
        <v>1579</v>
      </c>
      <c r="B498" s="17">
        <v>45058</v>
      </c>
      <c r="C498" s="17">
        <v>45058</v>
      </c>
      <c r="D498" t="s">
        <v>837</v>
      </c>
      <c r="E498" t="s">
        <v>1580</v>
      </c>
    </row>
    <row r="499" spans="1:5" x14ac:dyDescent="0.3">
      <c r="A499" t="s">
        <v>1581</v>
      </c>
      <c r="B499" s="17">
        <v>45059</v>
      </c>
      <c r="C499" s="17">
        <v>45059</v>
      </c>
      <c r="D499" t="s">
        <v>1582</v>
      </c>
      <c r="E499" t="s">
        <v>1583</v>
      </c>
    </row>
    <row r="500" spans="1:5" x14ac:dyDescent="0.3">
      <c r="A500" t="s">
        <v>1584</v>
      </c>
      <c r="B500" s="17">
        <v>45060</v>
      </c>
      <c r="C500" s="17">
        <v>45060</v>
      </c>
      <c r="D500" t="s">
        <v>1582</v>
      </c>
      <c r="E500" t="s">
        <v>1585</v>
      </c>
    </row>
    <row r="501" spans="1:5" x14ac:dyDescent="0.3">
      <c r="A501" t="s">
        <v>1586</v>
      </c>
      <c r="B501" s="17">
        <v>45061</v>
      </c>
      <c r="C501" s="17">
        <v>45061</v>
      </c>
      <c r="D501" t="s">
        <v>1582</v>
      </c>
      <c r="E501" t="s">
        <v>416</v>
      </c>
    </row>
    <row r="502" spans="1:5" x14ac:dyDescent="0.3">
      <c r="A502" t="s">
        <v>1587</v>
      </c>
      <c r="B502" s="17">
        <v>45062</v>
      </c>
      <c r="C502" s="17">
        <v>45062</v>
      </c>
      <c r="D502" t="s">
        <v>837</v>
      </c>
      <c r="E502" t="s">
        <v>417</v>
      </c>
    </row>
    <row r="503" spans="1:5" x14ac:dyDescent="0.3">
      <c r="A503" t="s">
        <v>1588</v>
      </c>
      <c r="B503" s="17">
        <v>45063</v>
      </c>
      <c r="C503" s="17">
        <v>45063</v>
      </c>
      <c r="D503" t="s">
        <v>833</v>
      </c>
      <c r="E503" t="s">
        <v>418</v>
      </c>
    </row>
    <row r="504" spans="1:5" x14ac:dyDescent="0.3">
      <c r="A504" t="s">
        <v>1589</v>
      </c>
      <c r="B504" s="17">
        <v>45064</v>
      </c>
      <c r="C504" s="17">
        <v>45064</v>
      </c>
      <c r="D504" t="s">
        <v>831</v>
      </c>
      <c r="E504" t="s">
        <v>419</v>
      </c>
    </row>
    <row r="505" spans="1:5" x14ac:dyDescent="0.3">
      <c r="A505" t="s">
        <v>1590</v>
      </c>
      <c r="B505" s="17">
        <v>45065</v>
      </c>
      <c r="C505" s="17">
        <v>45065</v>
      </c>
      <c r="D505" t="s">
        <v>1591</v>
      </c>
      <c r="E505" t="s">
        <v>1592</v>
      </c>
    </row>
    <row r="506" spans="1:5" x14ac:dyDescent="0.3">
      <c r="A506" t="s">
        <v>1593</v>
      </c>
      <c r="B506" s="17">
        <v>45066</v>
      </c>
      <c r="C506" s="17">
        <v>45066</v>
      </c>
      <c r="D506" t="s">
        <v>1276</v>
      </c>
      <c r="E506" t="s">
        <v>420</v>
      </c>
    </row>
    <row r="507" spans="1:5" x14ac:dyDescent="0.3">
      <c r="A507" t="s">
        <v>1594</v>
      </c>
      <c r="B507" s="17">
        <v>45067</v>
      </c>
      <c r="C507" s="17">
        <v>45067</v>
      </c>
      <c r="D507" t="s">
        <v>1595</v>
      </c>
      <c r="E507" t="s">
        <v>421</v>
      </c>
    </row>
    <row r="508" spans="1:5" x14ac:dyDescent="0.3">
      <c r="A508" t="s">
        <v>1596</v>
      </c>
      <c r="B508" s="17">
        <v>45068</v>
      </c>
      <c r="C508" s="17">
        <v>45068</v>
      </c>
      <c r="D508" t="s">
        <v>1597</v>
      </c>
      <c r="E508" t="s">
        <v>1598</v>
      </c>
    </row>
    <row r="509" spans="1:5" x14ac:dyDescent="0.3">
      <c r="A509" t="s">
        <v>1599</v>
      </c>
      <c r="B509" s="17">
        <v>45069</v>
      </c>
      <c r="C509" s="17">
        <v>45069</v>
      </c>
      <c r="D509" t="s">
        <v>1600</v>
      </c>
      <c r="E509" t="s">
        <v>422</v>
      </c>
    </row>
    <row r="510" spans="1:5" x14ac:dyDescent="0.3">
      <c r="A510" t="s">
        <v>1601</v>
      </c>
      <c r="B510" s="17">
        <v>45070</v>
      </c>
      <c r="C510" s="17">
        <v>45070</v>
      </c>
      <c r="D510" t="s">
        <v>1602</v>
      </c>
      <c r="E510" t="s">
        <v>423</v>
      </c>
    </row>
    <row r="511" spans="1:5" x14ac:dyDescent="0.3">
      <c r="A511" t="s">
        <v>1603</v>
      </c>
      <c r="B511" s="17">
        <v>45071</v>
      </c>
      <c r="C511" s="17">
        <v>45071</v>
      </c>
      <c r="D511" t="s">
        <v>1604</v>
      </c>
      <c r="E511" t="s">
        <v>424</v>
      </c>
    </row>
    <row r="512" spans="1:5" x14ac:dyDescent="0.3">
      <c r="A512" t="s">
        <v>1605</v>
      </c>
      <c r="B512" s="17">
        <v>45072</v>
      </c>
      <c r="C512" s="17">
        <v>45072</v>
      </c>
      <c r="D512" t="s">
        <v>1278</v>
      </c>
      <c r="E512" t="s">
        <v>425</v>
      </c>
    </row>
    <row r="513" spans="1:5" x14ac:dyDescent="0.3">
      <c r="A513" t="s">
        <v>1606</v>
      </c>
      <c r="B513" s="17">
        <v>45073</v>
      </c>
      <c r="C513" s="17">
        <v>45073</v>
      </c>
      <c r="D513" t="s">
        <v>1607</v>
      </c>
      <c r="E513" t="s">
        <v>1608</v>
      </c>
    </row>
    <row r="514" spans="1:5" x14ac:dyDescent="0.3">
      <c r="A514" t="s">
        <v>1609</v>
      </c>
      <c r="B514" s="17">
        <v>45074</v>
      </c>
      <c r="C514" s="17">
        <v>45074</v>
      </c>
      <c r="D514" t="s">
        <v>1557</v>
      </c>
      <c r="E514" t="s">
        <v>427</v>
      </c>
    </row>
    <row r="515" spans="1:5" x14ac:dyDescent="0.3">
      <c r="A515" t="s">
        <v>1610</v>
      </c>
      <c r="B515" s="17">
        <v>45075</v>
      </c>
      <c r="C515" s="17">
        <v>45075</v>
      </c>
      <c r="D515" t="s">
        <v>1554</v>
      </c>
      <c r="E515" t="s">
        <v>428</v>
      </c>
    </row>
    <row r="516" spans="1:5" x14ac:dyDescent="0.3">
      <c r="A516" t="s">
        <v>1611</v>
      </c>
      <c r="B516" s="17">
        <v>45076</v>
      </c>
      <c r="C516" s="17">
        <v>45076</v>
      </c>
      <c r="D516" t="s">
        <v>1280</v>
      </c>
      <c r="E516" t="s">
        <v>1612</v>
      </c>
    </row>
    <row r="517" spans="1:5" x14ac:dyDescent="0.3">
      <c r="A517" t="s">
        <v>1613</v>
      </c>
      <c r="B517" s="17">
        <v>45077</v>
      </c>
      <c r="C517" s="17">
        <v>45077</v>
      </c>
      <c r="D517" t="s">
        <v>1550</v>
      </c>
      <c r="E517" t="s">
        <v>429</v>
      </c>
    </row>
    <row r="518" spans="1:5" x14ac:dyDescent="0.3">
      <c r="A518" t="s">
        <v>1614</v>
      </c>
      <c r="B518" s="17">
        <v>45078</v>
      </c>
      <c r="C518" s="17">
        <v>45078</v>
      </c>
      <c r="D518" t="s">
        <v>1615</v>
      </c>
      <c r="E518" t="s">
        <v>430</v>
      </c>
    </row>
    <row r="519" spans="1:5" x14ac:dyDescent="0.3">
      <c r="A519" t="s">
        <v>1616</v>
      </c>
      <c r="B519" s="17">
        <v>45079</v>
      </c>
      <c r="C519" s="17">
        <v>45079</v>
      </c>
      <c r="D519" t="s">
        <v>1617</v>
      </c>
      <c r="E519" t="s">
        <v>431</v>
      </c>
    </row>
    <row r="520" spans="1:5" x14ac:dyDescent="0.3">
      <c r="A520" t="s">
        <v>1618</v>
      </c>
      <c r="B520" s="17">
        <v>45080</v>
      </c>
      <c r="C520" s="17">
        <v>45080</v>
      </c>
      <c r="D520" t="s">
        <v>798</v>
      </c>
      <c r="E520" t="s">
        <v>432</v>
      </c>
    </row>
    <row r="521" spans="1:5" x14ac:dyDescent="0.3">
      <c r="A521" t="s">
        <v>1619</v>
      </c>
      <c r="B521" s="17">
        <v>45081</v>
      </c>
      <c r="C521" s="17">
        <v>45081</v>
      </c>
      <c r="D521" t="s">
        <v>1620</v>
      </c>
      <c r="E521" t="s">
        <v>433</v>
      </c>
    </row>
    <row r="522" spans="1:5" x14ac:dyDescent="0.3">
      <c r="A522" t="s">
        <v>1621</v>
      </c>
      <c r="B522" s="17">
        <v>45082</v>
      </c>
      <c r="C522" s="17">
        <v>45082</v>
      </c>
      <c r="D522" t="s">
        <v>1622</v>
      </c>
      <c r="E522" t="s">
        <v>434</v>
      </c>
    </row>
    <row r="523" spans="1:5" x14ac:dyDescent="0.3">
      <c r="A523" t="s">
        <v>1623</v>
      </c>
      <c r="B523" s="17">
        <v>45083</v>
      </c>
      <c r="C523" s="17">
        <v>45083</v>
      </c>
      <c r="D523" t="s">
        <v>1624</v>
      </c>
      <c r="E523" t="s">
        <v>435</v>
      </c>
    </row>
    <row r="524" spans="1:5" x14ac:dyDescent="0.3">
      <c r="A524" t="s">
        <v>1625</v>
      </c>
      <c r="B524" s="17">
        <v>45084</v>
      </c>
      <c r="C524" s="17">
        <v>45084</v>
      </c>
      <c r="D524" t="s">
        <v>1626</v>
      </c>
      <c r="E524" t="s">
        <v>436</v>
      </c>
    </row>
    <row r="525" spans="1:5" x14ac:dyDescent="0.3">
      <c r="A525" t="s">
        <v>1627</v>
      </c>
      <c r="B525" s="17">
        <v>45085</v>
      </c>
      <c r="C525" s="17">
        <v>45085</v>
      </c>
      <c r="D525" t="s">
        <v>1284</v>
      </c>
      <c r="E525" t="s">
        <v>437</v>
      </c>
    </row>
    <row r="526" spans="1:5" x14ac:dyDescent="0.3">
      <c r="A526" t="s">
        <v>1628</v>
      </c>
      <c r="B526" s="17">
        <v>45086</v>
      </c>
      <c r="C526" s="17">
        <v>45086</v>
      </c>
      <c r="D526" t="s">
        <v>1629</v>
      </c>
      <c r="E526" t="s">
        <v>438</v>
      </c>
    </row>
    <row r="527" spans="1:5" x14ac:dyDescent="0.3">
      <c r="A527" t="s">
        <v>1630</v>
      </c>
      <c r="B527" s="17">
        <v>45087</v>
      </c>
      <c r="C527" s="17">
        <v>45087</v>
      </c>
      <c r="D527" t="s">
        <v>1631</v>
      </c>
      <c r="E527" t="s">
        <v>439</v>
      </c>
    </row>
    <row r="528" spans="1:5" x14ac:dyDescent="0.3">
      <c r="A528" t="s">
        <v>1632</v>
      </c>
      <c r="B528" s="17">
        <v>45088</v>
      </c>
      <c r="C528" s="17">
        <v>45088</v>
      </c>
      <c r="D528" t="s">
        <v>1527</v>
      </c>
      <c r="E528" t="s">
        <v>440</v>
      </c>
    </row>
    <row r="529" spans="1:5" x14ac:dyDescent="0.3">
      <c r="A529" t="s">
        <v>1633</v>
      </c>
      <c r="B529" s="17">
        <v>45089</v>
      </c>
      <c r="C529" s="17">
        <v>45089</v>
      </c>
      <c r="D529" t="s">
        <v>1634</v>
      </c>
      <c r="E529" t="s">
        <v>441</v>
      </c>
    </row>
    <row r="530" spans="1:5" x14ac:dyDescent="0.3">
      <c r="A530" t="s">
        <v>1635</v>
      </c>
      <c r="B530" s="17">
        <v>45090</v>
      </c>
      <c r="C530" s="17">
        <v>45090</v>
      </c>
      <c r="D530" t="s">
        <v>1052</v>
      </c>
      <c r="E530" t="s">
        <v>442</v>
      </c>
    </row>
    <row r="531" spans="1:5" x14ac:dyDescent="0.3">
      <c r="A531" t="s">
        <v>1636</v>
      </c>
      <c r="B531" s="17">
        <v>45091</v>
      </c>
      <c r="C531" s="17">
        <v>45091</v>
      </c>
      <c r="D531" t="s">
        <v>1637</v>
      </c>
      <c r="E531" t="s">
        <v>443</v>
      </c>
    </row>
    <row r="532" spans="1:5" x14ac:dyDescent="0.3">
      <c r="A532" t="s">
        <v>1638</v>
      </c>
      <c r="B532" s="17">
        <v>45092</v>
      </c>
      <c r="C532" s="17">
        <v>45092</v>
      </c>
      <c r="D532" t="s">
        <v>1639</v>
      </c>
      <c r="E532" t="s">
        <v>444</v>
      </c>
    </row>
    <row r="533" spans="1:5" x14ac:dyDescent="0.3">
      <c r="A533" t="s">
        <v>1640</v>
      </c>
      <c r="B533" s="17">
        <v>45093</v>
      </c>
      <c r="C533" s="17">
        <v>45093</v>
      </c>
      <c r="D533" t="s">
        <v>1641</v>
      </c>
      <c r="E533" t="s">
        <v>445</v>
      </c>
    </row>
    <row r="534" spans="1:5" x14ac:dyDescent="0.3">
      <c r="A534" t="s">
        <v>1642</v>
      </c>
      <c r="B534" s="17">
        <v>45094</v>
      </c>
      <c r="C534" s="17">
        <v>45094</v>
      </c>
      <c r="D534" t="s">
        <v>1643</v>
      </c>
      <c r="E534" t="s">
        <v>446</v>
      </c>
    </row>
    <row r="535" spans="1:5" x14ac:dyDescent="0.3">
      <c r="A535" t="s">
        <v>1644</v>
      </c>
      <c r="B535" s="17">
        <v>45095</v>
      </c>
      <c r="C535" s="17">
        <v>45095</v>
      </c>
      <c r="D535" t="s">
        <v>1645</v>
      </c>
      <c r="E535" t="s">
        <v>1646</v>
      </c>
    </row>
    <row r="536" spans="1:5" x14ac:dyDescent="0.3">
      <c r="A536" t="s">
        <v>1647</v>
      </c>
      <c r="B536" s="17">
        <v>45096</v>
      </c>
      <c r="C536" s="17">
        <v>45096</v>
      </c>
      <c r="D536" t="s">
        <v>1648</v>
      </c>
      <c r="E536" t="s">
        <v>447</v>
      </c>
    </row>
    <row r="537" spans="1:5" x14ac:dyDescent="0.3">
      <c r="A537" t="s">
        <v>1649</v>
      </c>
      <c r="B537" s="17">
        <v>45097</v>
      </c>
      <c r="C537" s="17">
        <v>45097</v>
      </c>
      <c r="D537" t="s">
        <v>1042</v>
      </c>
      <c r="E537" t="s">
        <v>448</v>
      </c>
    </row>
    <row r="538" spans="1:5" x14ac:dyDescent="0.3">
      <c r="A538" t="s">
        <v>1650</v>
      </c>
      <c r="B538" s="17">
        <v>45098</v>
      </c>
      <c r="C538" s="17">
        <v>45098</v>
      </c>
      <c r="D538" t="s">
        <v>1651</v>
      </c>
      <c r="E538" t="s">
        <v>449</v>
      </c>
    </row>
    <row r="539" spans="1:5" x14ac:dyDescent="0.3">
      <c r="A539" t="s">
        <v>1652</v>
      </c>
      <c r="B539" s="17">
        <v>45099</v>
      </c>
      <c r="C539" s="17">
        <v>45099</v>
      </c>
      <c r="D539" t="s">
        <v>1295</v>
      </c>
      <c r="E539" t="s">
        <v>450</v>
      </c>
    </row>
    <row r="540" spans="1:5" x14ac:dyDescent="0.3">
      <c r="A540" t="s">
        <v>1653</v>
      </c>
      <c r="B540" s="17">
        <v>45100</v>
      </c>
      <c r="C540" s="17">
        <v>45100</v>
      </c>
      <c r="D540" t="s">
        <v>1654</v>
      </c>
      <c r="E540" t="s">
        <v>451</v>
      </c>
    </row>
    <row r="541" spans="1:5" x14ac:dyDescent="0.3">
      <c r="A541" t="s">
        <v>1655</v>
      </c>
      <c r="B541" s="17">
        <v>45101</v>
      </c>
      <c r="C541" s="17">
        <v>45101</v>
      </c>
      <c r="D541" t="s">
        <v>1656</v>
      </c>
      <c r="E541" t="s">
        <v>452</v>
      </c>
    </row>
    <row r="542" spans="1:5" x14ac:dyDescent="0.3">
      <c r="A542" t="s">
        <v>1657</v>
      </c>
      <c r="B542" s="17">
        <v>45102</v>
      </c>
      <c r="C542" s="17">
        <v>45102</v>
      </c>
      <c r="D542" t="s">
        <v>1032</v>
      </c>
      <c r="E542" t="s">
        <v>453</v>
      </c>
    </row>
    <row r="543" spans="1:5" x14ac:dyDescent="0.3">
      <c r="A543" t="s">
        <v>1658</v>
      </c>
      <c r="B543" s="17">
        <v>45103</v>
      </c>
      <c r="C543" s="17">
        <v>45103</v>
      </c>
      <c r="D543" t="s">
        <v>1659</v>
      </c>
      <c r="E543" t="s">
        <v>454</v>
      </c>
    </row>
    <row r="544" spans="1:5" x14ac:dyDescent="0.3">
      <c r="A544" t="s">
        <v>1660</v>
      </c>
      <c r="B544" s="17">
        <v>45104</v>
      </c>
      <c r="C544" s="17">
        <v>45104</v>
      </c>
      <c r="D544" t="s">
        <v>1661</v>
      </c>
      <c r="E544" t="s">
        <v>455</v>
      </c>
    </row>
    <row r="545" spans="1:5" x14ac:dyDescent="0.3">
      <c r="A545" t="s">
        <v>1662</v>
      </c>
      <c r="B545" s="17">
        <v>45105</v>
      </c>
      <c r="C545" s="17">
        <v>45105</v>
      </c>
      <c r="D545" t="s">
        <v>1663</v>
      </c>
      <c r="E545" t="s">
        <v>456</v>
      </c>
    </row>
    <row r="546" spans="1:5" x14ac:dyDescent="0.3">
      <c r="A546" t="s">
        <v>1664</v>
      </c>
      <c r="B546" s="17">
        <v>45106</v>
      </c>
      <c r="C546" s="17">
        <v>45106</v>
      </c>
      <c r="D546" t="s">
        <v>1665</v>
      </c>
      <c r="E546" t="s">
        <v>457</v>
      </c>
    </row>
    <row r="547" spans="1:5" x14ac:dyDescent="0.3">
      <c r="A547" t="s">
        <v>1666</v>
      </c>
      <c r="B547" s="17">
        <v>45107</v>
      </c>
      <c r="C547" s="17">
        <v>45107</v>
      </c>
      <c r="D547" t="s">
        <v>1667</v>
      </c>
      <c r="E547" t="s">
        <v>458</v>
      </c>
    </row>
    <row r="548" spans="1:5" x14ac:dyDescent="0.3">
      <c r="A548" t="s">
        <v>1668</v>
      </c>
      <c r="B548" s="17">
        <v>45108</v>
      </c>
      <c r="C548" s="17">
        <v>45108</v>
      </c>
      <c r="D548" t="s">
        <v>751</v>
      </c>
      <c r="E548" t="s">
        <v>459</v>
      </c>
    </row>
    <row r="549" spans="1:5" x14ac:dyDescent="0.3">
      <c r="A549" t="s">
        <v>1669</v>
      </c>
      <c r="B549" s="17">
        <v>45109</v>
      </c>
      <c r="C549" s="17">
        <v>45109</v>
      </c>
      <c r="D549" t="s">
        <v>1670</v>
      </c>
      <c r="E549" t="s">
        <v>460</v>
      </c>
    </row>
    <row r="550" spans="1:5" x14ac:dyDescent="0.3">
      <c r="A550" t="s">
        <v>1671</v>
      </c>
      <c r="B550" s="17">
        <v>45110</v>
      </c>
      <c r="C550" s="17">
        <v>45110</v>
      </c>
      <c r="D550" t="s">
        <v>1490</v>
      </c>
      <c r="E550" t="s">
        <v>461</v>
      </c>
    </row>
    <row r="551" spans="1:5" x14ac:dyDescent="0.3">
      <c r="A551" t="s">
        <v>1672</v>
      </c>
      <c r="B551" s="17">
        <v>45111</v>
      </c>
      <c r="C551" s="17">
        <v>45111</v>
      </c>
      <c r="D551" t="s">
        <v>1673</v>
      </c>
      <c r="E551" t="s">
        <v>462</v>
      </c>
    </row>
    <row r="552" spans="1:5" x14ac:dyDescent="0.3">
      <c r="A552" t="s">
        <v>1674</v>
      </c>
      <c r="B552" s="17">
        <v>45112</v>
      </c>
      <c r="C552" s="17">
        <v>45112</v>
      </c>
      <c r="D552" t="s">
        <v>1675</v>
      </c>
      <c r="E552" t="s">
        <v>463</v>
      </c>
    </row>
    <row r="553" spans="1:5" x14ac:dyDescent="0.3">
      <c r="A553" t="s">
        <v>1676</v>
      </c>
      <c r="B553" s="17">
        <v>45113</v>
      </c>
      <c r="C553" s="17">
        <v>45113</v>
      </c>
      <c r="D553" t="s">
        <v>746</v>
      </c>
      <c r="E553" t="s">
        <v>464</v>
      </c>
    </row>
    <row r="554" spans="1:5" x14ac:dyDescent="0.3">
      <c r="A554" t="s">
        <v>1677</v>
      </c>
      <c r="B554" s="17">
        <v>45114</v>
      </c>
      <c r="C554" s="17">
        <v>45114</v>
      </c>
      <c r="D554" t="s">
        <v>1678</v>
      </c>
      <c r="E554" t="s">
        <v>465</v>
      </c>
    </row>
    <row r="555" spans="1:5" x14ac:dyDescent="0.3">
      <c r="A555" t="s">
        <v>1679</v>
      </c>
      <c r="B555" s="17">
        <v>45115</v>
      </c>
      <c r="C555" s="17">
        <v>45115</v>
      </c>
      <c r="D555" t="s">
        <v>1680</v>
      </c>
      <c r="E555" t="s">
        <v>466</v>
      </c>
    </row>
    <row r="556" spans="1:5" x14ac:dyDescent="0.3">
      <c r="A556" t="s">
        <v>1681</v>
      </c>
      <c r="B556" s="17">
        <v>45116</v>
      </c>
      <c r="C556" s="17">
        <v>45116</v>
      </c>
      <c r="D556" t="s">
        <v>1008</v>
      </c>
      <c r="E556" t="s">
        <v>467</v>
      </c>
    </row>
    <row r="557" spans="1:5" x14ac:dyDescent="0.3">
      <c r="A557" t="s">
        <v>1682</v>
      </c>
      <c r="B557" s="17">
        <v>45117</v>
      </c>
      <c r="C557" s="17">
        <v>45117</v>
      </c>
      <c r="D557" t="s">
        <v>588</v>
      </c>
      <c r="E557" t="s">
        <v>1683</v>
      </c>
    </row>
    <row r="558" spans="1:5" x14ac:dyDescent="0.3">
      <c r="A558" t="s">
        <v>1684</v>
      </c>
      <c r="B558" s="17">
        <v>45118</v>
      </c>
      <c r="C558" s="17">
        <v>45118</v>
      </c>
      <c r="D558" t="s">
        <v>1685</v>
      </c>
      <c r="E558" t="s">
        <v>468</v>
      </c>
    </row>
    <row r="559" spans="1:5" x14ac:dyDescent="0.3">
      <c r="A559" t="s">
        <v>1686</v>
      </c>
      <c r="B559" s="17">
        <v>45119</v>
      </c>
      <c r="C559" s="17">
        <v>45119</v>
      </c>
      <c r="D559" t="s">
        <v>1687</v>
      </c>
      <c r="E559" t="s">
        <v>469</v>
      </c>
    </row>
    <row r="560" spans="1:5" x14ac:dyDescent="0.3">
      <c r="A560" t="s">
        <v>1688</v>
      </c>
      <c r="B560" s="17">
        <v>45120</v>
      </c>
      <c r="C560" s="17">
        <v>45120</v>
      </c>
      <c r="D560" t="s">
        <v>1689</v>
      </c>
      <c r="E560" t="s">
        <v>470</v>
      </c>
    </row>
    <row r="561" spans="1:5" x14ac:dyDescent="0.3">
      <c r="A561" t="s">
        <v>1690</v>
      </c>
      <c r="B561" s="17">
        <v>45121</v>
      </c>
      <c r="C561" s="17">
        <v>45121</v>
      </c>
      <c r="D561" t="s">
        <v>1691</v>
      </c>
      <c r="E561" t="s">
        <v>471</v>
      </c>
    </row>
    <row r="562" spans="1:5" x14ac:dyDescent="0.3">
      <c r="A562" t="s">
        <v>1692</v>
      </c>
      <c r="B562" s="17">
        <v>45122</v>
      </c>
      <c r="C562" s="17">
        <v>45122</v>
      </c>
      <c r="D562" t="s">
        <v>1693</v>
      </c>
      <c r="E562" t="s">
        <v>472</v>
      </c>
    </row>
    <row r="563" spans="1:5" x14ac:dyDescent="0.3">
      <c r="A563" t="s">
        <v>1694</v>
      </c>
      <c r="B563" s="17">
        <v>45123</v>
      </c>
      <c r="C563" s="17">
        <v>45123</v>
      </c>
      <c r="D563" t="s">
        <v>1695</v>
      </c>
      <c r="E563" t="s">
        <v>473</v>
      </c>
    </row>
    <row r="564" spans="1:5" x14ac:dyDescent="0.3">
      <c r="A564" t="s">
        <v>1696</v>
      </c>
      <c r="B564" s="17">
        <v>45124</v>
      </c>
      <c r="C564" s="17">
        <v>45124</v>
      </c>
      <c r="D564" t="s">
        <v>1697</v>
      </c>
      <c r="E564" t="s">
        <v>426</v>
      </c>
    </row>
    <row r="565" spans="1:5" x14ac:dyDescent="0.3">
      <c r="A565" t="s">
        <v>1698</v>
      </c>
      <c r="B565" s="17">
        <v>45125</v>
      </c>
      <c r="C565" s="17">
        <v>45125</v>
      </c>
      <c r="D565" t="s">
        <v>592</v>
      </c>
      <c r="E565" t="s">
        <v>474</v>
      </c>
    </row>
    <row r="566" spans="1:5" x14ac:dyDescent="0.3">
      <c r="A566" t="s">
        <v>1699</v>
      </c>
      <c r="B566" s="17">
        <v>45126</v>
      </c>
      <c r="C566" s="17">
        <v>45126</v>
      </c>
      <c r="D566" t="s">
        <v>1475</v>
      </c>
      <c r="E566" t="s">
        <v>475</v>
      </c>
    </row>
    <row r="567" spans="1:5" x14ac:dyDescent="0.3">
      <c r="A567" t="s">
        <v>1700</v>
      </c>
      <c r="B567" s="17">
        <v>45127</v>
      </c>
      <c r="C567" s="17">
        <v>45127</v>
      </c>
      <c r="D567" t="s">
        <v>970</v>
      </c>
      <c r="E567" t="s">
        <v>1701</v>
      </c>
    </row>
    <row r="568" spans="1:5" x14ac:dyDescent="0.3">
      <c r="A568" t="s">
        <v>1702</v>
      </c>
      <c r="B568" s="17">
        <v>45128</v>
      </c>
      <c r="C568" s="17">
        <v>45128</v>
      </c>
      <c r="D568" t="s">
        <v>972</v>
      </c>
      <c r="E568" t="s">
        <v>1703</v>
      </c>
    </row>
    <row r="569" spans="1:5" x14ac:dyDescent="0.3">
      <c r="A569" t="s">
        <v>1704</v>
      </c>
      <c r="B569" s="17">
        <v>45129</v>
      </c>
      <c r="C569" s="17">
        <v>45129</v>
      </c>
      <c r="D569" t="s">
        <v>974</v>
      </c>
      <c r="E569" t="s">
        <v>476</v>
      </c>
    </row>
    <row r="570" spans="1:5" x14ac:dyDescent="0.3">
      <c r="A570" t="s">
        <v>1705</v>
      </c>
      <c r="B570" s="17">
        <v>45130</v>
      </c>
      <c r="C570" s="17">
        <v>45130</v>
      </c>
      <c r="D570" t="s">
        <v>976</v>
      </c>
      <c r="E570" t="s">
        <v>477</v>
      </c>
    </row>
    <row r="571" spans="1:5" x14ac:dyDescent="0.3">
      <c r="A571" t="s">
        <v>1706</v>
      </c>
      <c r="B571" s="17">
        <v>45131</v>
      </c>
      <c r="C571" s="17">
        <v>45131</v>
      </c>
      <c r="D571" t="s">
        <v>978</v>
      </c>
      <c r="E571" t="s">
        <v>478</v>
      </c>
    </row>
    <row r="572" spans="1:5" x14ac:dyDescent="0.3">
      <c r="A572" t="s">
        <v>1707</v>
      </c>
      <c r="B572" s="17">
        <v>45132</v>
      </c>
      <c r="C572" s="17">
        <v>45132</v>
      </c>
      <c r="D572" t="s">
        <v>734</v>
      </c>
      <c r="E572" t="s">
        <v>479</v>
      </c>
    </row>
    <row r="573" spans="1:5" x14ac:dyDescent="0.3">
      <c r="A573" t="s">
        <v>1708</v>
      </c>
      <c r="B573" s="17">
        <v>45133</v>
      </c>
      <c r="C573" s="17">
        <v>45133</v>
      </c>
      <c r="D573" t="s">
        <v>734</v>
      </c>
      <c r="E573" t="s">
        <v>1709</v>
      </c>
    </row>
    <row r="574" spans="1:5" x14ac:dyDescent="0.3">
      <c r="A574" t="s">
        <v>1710</v>
      </c>
      <c r="B574" s="17">
        <v>45134</v>
      </c>
      <c r="C574" s="17">
        <v>45134</v>
      </c>
      <c r="D574" t="s">
        <v>734</v>
      </c>
      <c r="E574" t="s">
        <v>1711</v>
      </c>
    </row>
    <row r="575" spans="1:5" x14ac:dyDescent="0.3">
      <c r="A575" t="s">
        <v>1712</v>
      </c>
      <c r="B575" s="17">
        <v>45135</v>
      </c>
      <c r="C575" s="17">
        <v>45135</v>
      </c>
      <c r="D575" t="s">
        <v>978</v>
      </c>
      <c r="E575" t="s">
        <v>480</v>
      </c>
    </row>
    <row r="576" spans="1:5" x14ac:dyDescent="0.3">
      <c r="A576" t="s">
        <v>1713</v>
      </c>
      <c r="B576" s="17">
        <v>45136</v>
      </c>
      <c r="C576" s="17">
        <v>45136</v>
      </c>
      <c r="D576" t="s">
        <v>984</v>
      </c>
      <c r="E576" t="s">
        <v>481</v>
      </c>
    </row>
    <row r="577" spans="1:5" x14ac:dyDescent="0.3">
      <c r="A577" t="s">
        <v>1714</v>
      </c>
      <c r="B577" s="17">
        <v>45137</v>
      </c>
      <c r="C577" s="17">
        <v>45137</v>
      </c>
      <c r="D577" t="s">
        <v>986</v>
      </c>
      <c r="E577" t="s">
        <v>482</v>
      </c>
    </row>
    <row r="578" spans="1:5" x14ac:dyDescent="0.3">
      <c r="A578" t="s">
        <v>1715</v>
      </c>
      <c r="B578" s="17">
        <v>45138</v>
      </c>
      <c r="C578" s="17">
        <v>45138</v>
      </c>
      <c r="D578" t="s">
        <v>988</v>
      </c>
      <c r="E578" t="s">
        <v>1716</v>
      </c>
    </row>
    <row r="579" spans="1:5" x14ac:dyDescent="0.3">
      <c r="A579" t="s">
        <v>1717</v>
      </c>
      <c r="B579" s="17">
        <v>45139</v>
      </c>
      <c r="C579" s="17">
        <v>45139</v>
      </c>
      <c r="D579" t="s">
        <v>990</v>
      </c>
      <c r="E579" t="s">
        <v>483</v>
      </c>
    </row>
    <row r="580" spans="1:5" x14ac:dyDescent="0.3">
      <c r="A580" t="s">
        <v>1718</v>
      </c>
      <c r="B580" s="17">
        <v>45140</v>
      </c>
      <c r="C580" s="17">
        <v>45140</v>
      </c>
      <c r="D580" t="s">
        <v>992</v>
      </c>
      <c r="E580" t="s">
        <v>484</v>
      </c>
    </row>
    <row r="581" spans="1:5" x14ac:dyDescent="0.3">
      <c r="A581" t="s">
        <v>1719</v>
      </c>
      <c r="B581" s="17">
        <v>45141</v>
      </c>
      <c r="C581" s="17">
        <v>45141</v>
      </c>
      <c r="D581" t="s">
        <v>994</v>
      </c>
      <c r="E581" t="s">
        <v>485</v>
      </c>
    </row>
    <row r="582" spans="1:5" x14ac:dyDescent="0.3">
      <c r="A582" t="s">
        <v>1720</v>
      </c>
      <c r="B582" s="17">
        <v>45142</v>
      </c>
      <c r="C582" s="17">
        <v>45142</v>
      </c>
      <c r="D582" t="s">
        <v>996</v>
      </c>
      <c r="E582" t="s">
        <v>486</v>
      </c>
    </row>
    <row r="583" spans="1:5" x14ac:dyDescent="0.3">
      <c r="A583" t="s">
        <v>1721</v>
      </c>
      <c r="B583" s="17">
        <v>45143</v>
      </c>
      <c r="C583" s="17">
        <v>45143</v>
      </c>
      <c r="D583" t="s">
        <v>998</v>
      </c>
      <c r="E583" t="s">
        <v>1722</v>
      </c>
    </row>
    <row r="584" spans="1:5" x14ac:dyDescent="0.3">
      <c r="A584" t="s">
        <v>1723</v>
      </c>
      <c r="B584" s="17">
        <v>45144</v>
      </c>
      <c r="C584" s="17">
        <v>45144</v>
      </c>
      <c r="D584" t="s">
        <v>1724</v>
      </c>
      <c r="E584" t="s">
        <v>487</v>
      </c>
    </row>
    <row r="585" spans="1:5" x14ac:dyDescent="0.3">
      <c r="A585" t="s">
        <v>1725</v>
      </c>
      <c r="B585" s="17">
        <v>45145</v>
      </c>
      <c r="C585" s="17">
        <v>45145</v>
      </c>
      <c r="D585" t="s">
        <v>1726</v>
      </c>
      <c r="E585" t="s">
        <v>488</v>
      </c>
    </row>
    <row r="586" spans="1:5" x14ac:dyDescent="0.3">
      <c r="A586" t="s">
        <v>1727</v>
      </c>
      <c r="B586" s="17">
        <v>45146</v>
      </c>
      <c r="C586" s="17">
        <v>45146</v>
      </c>
      <c r="D586" t="s">
        <v>1311</v>
      </c>
      <c r="E586" t="s">
        <v>489</v>
      </c>
    </row>
    <row r="587" spans="1:5" x14ac:dyDescent="0.3">
      <c r="A587" t="s">
        <v>1728</v>
      </c>
      <c r="B587" s="17">
        <v>45147</v>
      </c>
      <c r="C587" s="17">
        <v>45147</v>
      </c>
      <c r="D587" t="s">
        <v>949</v>
      </c>
      <c r="E587" t="s">
        <v>1729</v>
      </c>
    </row>
    <row r="588" spans="1:5" x14ac:dyDescent="0.3">
      <c r="A588" t="s">
        <v>1730</v>
      </c>
      <c r="B588" s="17">
        <v>45148</v>
      </c>
      <c r="C588" s="17">
        <v>45148</v>
      </c>
      <c r="D588" t="s">
        <v>1731</v>
      </c>
      <c r="E588" t="s">
        <v>1732</v>
      </c>
    </row>
    <row r="589" spans="1:5" x14ac:dyDescent="0.3">
      <c r="A589" t="s">
        <v>1733</v>
      </c>
      <c r="B589" s="17">
        <v>45149</v>
      </c>
      <c r="C589" s="17">
        <v>45149</v>
      </c>
      <c r="D589" t="s">
        <v>1309</v>
      </c>
      <c r="E589" t="s">
        <v>490</v>
      </c>
    </row>
    <row r="590" spans="1:5" x14ac:dyDescent="0.3">
      <c r="A590" t="s">
        <v>1734</v>
      </c>
      <c r="B590" s="17">
        <v>45150</v>
      </c>
      <c r="C590" s="17">
        <v>45150</v>
      </c>
      <c r="D590" t="s">
        <v>1735</v>
      </c>
      <c r="E590" t="s">
        <v>491</v>
      </c>
    </row>
    <row r="591" spans="1:5" x14ac:dyDescent="0.3">
      <c r="A591" t="s">
        <v>1736</v>
      </c>
      <c r="B591" s="17">
        <v>45151</v>
      </c>
      <c r="C591" s="17">
        <v>45151</v>
      </c>
      <c r="D591" t="s">
        <v>586</v>
      </c>
      <c r="E591" t="s">
        <v>492</v>
      </c>
    </row>
    <row r="592" spans="1:5" x14ac:dyDescent="0.3">
      <c r="A592" t="s">
        <v>1737</v>
      </c>
      <c r="B592" s="17">
        <v>45152</v>
      </c>
      <c r="C592" s="17">
        <v>45152</v>
      </c>
      <c r="D592" t="s">
        <v>1738</v>
      </c>
      <c r="E592" t="s">
        <v>493</v>
      </c>
    </row>
    <row r="593" spans="1:5" x14ac:dyDescent="0.3">
      <c r="A593" t="s">
        <v>1739</v>
      </c>
      <c r="B593" s="17">
        <v>45153</v>
      </c>
      <c r="C593" s="17">
        <v>45153</v>
      </c>
      <c r="D593" t="s">
        <v>1740</v>
      </c>
      <c r="E593" t="s">
        <v>494</v>
      </c>
    </row>
    <row r="594" spans="1:5" x14ac:dyDescent="0.3">
      <c r="A594" t="s">
        <v>1741</v>
      </c>
      <c r="B594" s="17">
        <v>45154</v>
      </c>
      <c r="C594" s="17">
        <v>45154</v>
      </c>
      <c r="D594" t="s">
        <v>1742</v>
      </c>
      <c r="E594" t="s">
        <v>1743</v>
      </c>
    </row>
    <row r="595" spans="1:5" x14ac:dyDescent="0.3">
      <c r="A595" t="s">
        <v>1744</v>
      </c>
      <c r="B595" s="17">
        <v>45155</v>
      </c>
      <c r="C595" s="17">
        <v>45155</v>
      </c>
      <c r="D595" t="s">
        <v>1745</v>
      </c>
      <c r="E595" t="s">
        <v>1746</v>
      </c>
    </row>
    <row r="596" spans="1:5" x14ac:dyDescent="0.3">
      <c r="A596" t="s">
        <v>1747</v>
      </c>
      <c r="B596" s="17">
        <v>45156</v>
      </c>
      <c r="C596" s="17">
        <v>45156</v>
      </c>
      <c r="D596" t="s">
        <v>1492</v>
      </c>
      <c r="E596" t="s">
        <v>495</v>
      </c>
    </row>
    <row r="597" spans="1:5" x14ac:dyDescent="0.3">
      <c r="A597" t="s">
        <v>1748</v>
      </c>
      <c r="B597" s="17">
        <v>45157</v>
      </c>
      <c r="C597" s="17">
        <v>45157</v>
      </c>
      <c r="D597" t="s">
        <v>1749</v>
      </c>
      <c r="E597" t="s">
        <v>496</v>
      </c>
    </row>
    <row r="598" spans="1:5" x14ac:dyDescent="0.3">
      <c r="A598" t="s">
        <v>1750</v>
      </c>
      <c r="B598" s="17">
        <v>45158</v>
      </c>
      <c r="C598" s="17">
        <v>45158</v>
      </c>
      <c r="D598" t="s">
        <v>1665</v>
      </c>
      <c r="E598" t="s">
        <v>1751</v>
      </c>
    </row>
    <row r="599" spans="1:5" x14ac:dyDescent="0.3">
      <c r="A599" t="s">
        <v>1752</v>
      </c>
      <c r="B599" s="17">
        <v>45159</v>
      </c>
      <c r="C599" s="17">
        <v>45159</v>
      </c>
      <c r="D599" t="s">
        <v>1753</v>
      </c>
      <c r="E599" t="s">
        <v>1754</v>
      </c>
    </row>
    <row r="600" spans="1:5" x14ac:dyDescent="0.3">
      <c r="A600" t="s">
        <v>1755</v>
      </c>
      <c r="B600" s="17">
        <v>45160</v>
      </c>
      <c r="C600" s="17">
        <v>45160</v>
      </c>
      <c r="D600" t="s">
        <v>1756</v>
      </c>
      <c r="E600" t="s">
        <v>1757</v>
      </c>
    </row>
    <row r="601" spans="1:5" x14ac:dyDescent="0.3">
      <c r="A601" t="s">
        <v>1758</v>
      </c>
      <c r="B601" s="17">
        <v>45161</v>
      </c>
      <c r="C601" s="17">
        <v>45161</v>
      </c>
      <c r="D601" t="s">
        <v>1759</v>
      </c>
      <c r="E601" t="s">
        <v>497</v>
      </c>
    </row>
    <row r="602" spans="1:5" x14ac:dyDescent="0.3">
      <c r="A602" t="s">
        <v>1760</v>
      </c>
      <c r="B602" s="17">
        <v>45162</v>
      </c>
      <c r="C602" s="17">
        <v>45162</v>
      </c>
      <c r="D602" t="s">
        <v>1761</v>
      </c>
      <c r="E602" t="s">
        <v>498</v>
      </c>
    </row>
    <row r="603" spans="1:5" x14ac:dyDescent="0.3">
      <c r="A603" t="s">
        <v>1762</v>
      </c>
      <c r="B603" s="17">
        <v>45163</v>
      </c>
      <c r="C603" s="17">
        <v>45163</v>
      </c>
      <c r="D603" t="s">
        <v>1505</v>
      </c>
      <c r="E603" t="s">
        <v>499</v>
      </c>
    </row>
    <row r="604" spans="1:5" x14ac:dyDescent="0.3">
      <c r="A604" t="s">
        <v>1763</v>
      </c>
      <c r="B604" s="17">
        <v>45164</v>
      </c>
      <c r="C604" s="17">
        <v>45164</v>
      </c>
      <c r="D604" t="s">
        <v>1764</v>
      </c>
      <c r="E604" t="s">
        <v>1765</v>
      </c>
    </row>
    <row r="605" spans="1:5" x14ac:dyDescent="0.3">
      <c r="A605" t="s">
        <v>1766</v>
      </c>
      <c r="B605" s="17">
        <v>45165</v>
      </c>
      <c r="C605" s="17">
        <v>45165</v>
      </c>
      <c r="D605" t="s">
        <v>1767</v>
      </c>
      <c r="E605" t="s">
        <v>500</v>
      </c>
    </row>
    <row r="606" spans="1:5" x14ac:dyDescent="0.3">
      <c r="A606" t="s">
        <v>1768</v>
      </c>
      <c r="B606" s="17">
        <v>45166</v>
      </c>
      <c r="C606" s="17">
        <v>45166</v>
      </c>
      <c r="D606" t="s">
        <v>769</v>
      </c>
      <c r="E606" t="s">
        <v>1769</v>
      </c>
    </row>
    <row r="607" spans="1:5" x14ac:dyDescent="0.3">
      <c r="A607" t="s">
        <v>1770</v>
      </c>
      <c r="B607" s="17">
        <v>45167</v>
      </c>
      <c r="C607" s="17">
        <v>45167</v>
      </c>
      <c r="D607" t="s">
        <v>1291</v>
      </c>
      <c r="E607" t="s">
        <v>1771</v>
      </c>
    </row>
    <row r="608" spans="1:5" x14ac:dyDescent="0.3">
      <c r="A608" t="s">
        <v>1772</v>
      </c>
      <c r="B608" s="17">
        <v>45168</v>
      </c>
      <c r="C608" s="17">
        <v>45168</v>
      </c>
      <c r="D608" t="s">
        <v>1773</v>
      </c>
      <c r="E608" t="s">
        <v>1774</v>
      </c>
    </row>
    <row r="609" spans="1:5" x14ac:dyDescent="0.3">
      <c r="A609" t="s">
        <v>1775</v>
      </c>
      <c r="B609" s="17">
        <v>45169</v>
      </c>
      <c r="C609" s="17">
        <v>45169</v>
      </c>
      <c r="D609" t="s">
        <v>1776</v>
      </c>
      <c r="E609" t="s">
        <v>1777</v>
      </c>
    </row>
    <row r="610" spans="1:5" x14ac:dyDescent="0.3">
      <c r="A610" t="s">
        <v>1778</v>
      </c>
      <c r="B610" s="17">
        <v>45170</v>
      </c>
      <c r="C610" s="17">
        <v>45170</v>
      </c>
      <c r="D610" t="s">
        <v>1522</v>
      </c>
      <c r="E610" t="s">
        <v>501</v>
      </c>
    </row>
    <row r="611" spans="1:5" x14ac:dyDescent="0.3">
      <c r="A611" t="s">
        <v>1779</v>
      </c>
      <c r="B611" s="17">
        <v>45171</v>
      </c>
      <c r="C611" s="17">
        <v>45171</v>
      </c>
      <c r="D611" t="s">
        <v>1780</v>
      </c>
      <c r="E611" t="s">
        <v>1781</v>
      </c>
    </row>
    <row r="612" spans="1:5" x14ac:dyDescent="0.3">
      <c r="A612" t="s">
        <v>1782</v>
      </c>
      <c r="B612" s="17">
        <v>45172</v>
      </c>
      <c r="C612" s="17">
        <v>45172</v>
      </c>
      <c r="D612" t="s">
        <v>1783</v>
      </c>
      <c r="E612" t="s">
        <v>502</v>
      </c>
    </row>
    <row r="613" spans="1:5" x14ac:dyDescent="0.3">
      <c r="A613" t="s">
        <v>1784</v>
      </c>
      <c r="B613" s="17">
        <v>45173</v>
      </c>
      <c r="C613" s="17">
        <v>45173</v>
      </c>
      <c r="D613" t="s">
        <v>1785</v>
      </c>
      <c r="E613" t="s">
        <v>1786</v>
      </c>
    </row>
    <row r="614" spans="1:5" x14ac:dyDescent="0.3">
      <c r="A614" t="s">
        <v>1787</v>
      </c>
      <c r="B614" s="17">
        <v>45174</v>
      </c>
      <c r="C614" s="17">
        <v>45174</v>
      </c>
      <c r="D614" t="s">
        <v>1788</v>
      </c>
      <c r="E614" t="s">
        <v>1789</v>
      </c>
    </row>
    <row r="615" spans="1:5" x14ac:dyDescent="0.3">
      <c r="A615" t="s">
        <v>1790</v>
      </c>
      <c r="B615" s="17">
        <v>45175</v>
      </c>
      <c r="C615" s="17">
        <v>45175</v>
      </c>
      <c r="D615" t="s">
        <v>1791</v>
      </c>
      <c r="E615" t="s">
        <v>503</v>
      </c>
    </row>
    <row r="616" spans="1:5" x14ac:dyDescent="0.3">
      <c r="A616" t="s">
        <v>1792</v>
      </c>
      <c r="B616" s="17">
        <v>45176</v>
      </c>
      <c r="C616" s="17">
        <v>45176</v>
      </c>
      <c r="D616" t="s">
        <v>1793</v>
      </c>
      <c r="E616" t="s">
        <v>504</v>
      </c>
    </row>
    <row r="617" spans="1:5" x14ac:dyDescent="0.3">
      <c r="A617" t="s">
        <v>1794</v>
      </c>
      <c r="B617" s="17">
        <v>45177</v>
      </c>
      <c r="C617" s="17">
        <v>45177</v>
      </c>
      <c r="D617" t="s">
        <v>1795</v>
      </c>
      <c r="E617" t="s">
        <v>505</v>
      </c>
    </row>
    <row r="618" spans="1:5" x14ac:dyDescent="0.3">
      <c r="A618" t="s">
        <v>1796</v>
      </c>
      <c r="B618" s="17">
        <v>45178</v>
      </c>
      <c r="C618" s="17">
        <v>45178</v>
      </c>
      <c r="D618" t="s">
        <v>1797</v>
      </c>
      <c r="E618" t="s">
        <v>1798</v>
      </c>
    </row>
    <row r="619" spans="1:5" x14ac:dyDescent="0.3">
      <c r="A619" t="s">
        <v>1799</v>
      </c>
      <c r="B619" s="17">
        <v>45179</v>
      </c>
      <c r="C619" s="17">
        <v>45179</v>
      </c>
      <c r="D619" t="s">
        <v>860</v>
      </c>
      <c r="E619" t="s">
        <v>1800</v>
      </c>
    </row>
    <row r="620" spans="1:5" x14ac:dyDescent="0.3">
      <c r="A620" t="s">
        <v>1801</v>
      </c>
      <c r="B620" s="17">
        <v>45180</v>
      </c>
      <c r="C620" s="17">
        <v>45180</v>
      </c>
      <c r="D620" t="s">
        <v>820</v>
      </c>
      <c r="E620" t="s">
        <v>1802</v>
      </c>
    </row>
    <row r="621" spans="1:5" x14ac:dyDescent="0.3">
      <c r="A621" t="s">
        <v>1803</v>
      </c>
      <c r="B621" s="17">
        <v>45181</v>
      </c>
      <c r="C621" s="17">
        <v>45181</v>
      </c>
      <c r="D621" t="s">
        <v>837</v>
      </c>
      <c r="E621" t="s">
        <v>506</v>
      </c>
    </row>
    <row r="622" spans="1:5" x14ac:dyDescent="0.3">
      <c r="A622" t="s">
        <v>1804</v>
      </c>
      <c r="B622" s="17">
        <v>45182</v>
      </c>
      <c r="C622" s="17">
        <v>45182</v>
      </c>
      <c r="D622" t="s">
        <v>1805</v>
      </c>
      <c r="E622" t="s">
        <v>507</v>
      </c>
    </row>
    <row r="623" spans="1:5" x14ac:dyDescent="0.3">
      <c r="A623" t="s">
        <v>1806</v>
      </c>
      <c r="B623" s="17">
        <v>45183</v>
      </c>
      <c r="C623" s="17">
        <v>45183</v>
      </c>
      <c r="D623" t="s">
        <v>1807</v>
      </c>
      <c r="E623" t="s">
        <v>508</v>
      </c>
    </row>
    <row r="624" spans="1:5" x14ac:dyDescent="0.3">
      <c r="A624" t="s">
        <v>1808</v>
      </c>
      <c r="B624" s="17">
        <v>45184</v>
      </c>
      <c r="C624" s="17">
        <v>45184</v>
      </c>
      <c r="D624" t="s">
        <v>1809</v>
      </c>
      <c r="E624" t="s">
        <v>509</v>
      </c>
    </row>
    <row r="625" spans="1:5" x14ac:dyDescent="0.3">
      <c r="A625" t="s">
        <v>1810</v>
      </c>
      <c r="B625" s="17">
        <v>45185</v>
      </c>
      <c r="C625" s="17">
        <v>45185</v>
      </c>
      <c r="D625" t="s">
        <v>1811</v>
      </c>
      <c r="E625" t="s">
        <v>510</v>
      </c>
    </row>
    <row r="626" spans="1:5" x14ac:dyDescent="0.3">
      <c r="A626" t="s">
        <v>1812</v>
      </c>
      <c r="B626" s="17">
        <v>45186</v>
      </c>
      <c r="C626" s="17">
        <v>45186</v>
      </c>
      <c r="D626" t="s">
        <v>1813</v>
      </c>
      <c r="E626" t="s">
        <v>1814</v>
      </c>
    </row>
    <row r="627" spans="1:5" x14ac:dyDescent="0.3">
      <c r="A627" t="s">
        <v>1815</v>
      </c>
      <c r="B627" s="17">
        <v>45187</v>
      </c>
      <c r="C627" s="17">
        <v>45187</v>
      </c>
      <c r="D627" t="s">
        <v>1816</v>
      </c>
      <c r="E627" t="s">
        <v>1817</v>
      </c>
    </row>
    <row r="628" spans="1:5" x14ac:dyDescent="0.3">
      <c r="A628" t="s">
        <v>1818</v>
      </c>
      <c r="B628" s="17">
        <v>45188</v>
      </c>
      <c r="C628" s="17">
        <v>45188</v>
      </c>
      <c r="D628" t="s">
        <v>1819</v>
      </c>
      <c r="E628" t="s">
        <v>1820</v>
      </c>
    </row>
    <row r="629" spans="1:5" x14ac:dyDescent="0.3">
      <c r="A629" t="s">
        <v>1821</v>
      </c>
      <c r="B629" s="17">
        <v>45189</v>
      </c>
      <c r="C629" s="17">
        <v>45189</v>
      </c>
      <c r="D629" t="s">
        <v>1822</v>
      </c>
      <c r="E629" t="s">
        <v>511</v>
      </c>
    </row>
    <row r="630" spans="1:5" x14ac:dyDescent="0.3">
      <c r="A630" t="s">
        <v>1823</v>
      </c>
      <c r="B630" s="17">
        <v>45190</v>
      </c>
      <c r="C630" s="17">
        <v>45190</v>
      </c>
      <c r="D630" t="s">
        <v>1824</v>
      </c>
      <c r="E630" t="s">
        <v>512</v>
      </c>
    </row>
    <row r="631" spans="1:5" x14ac:dyDescent="0.3">
      <c r="A631" t="s">
        <v>1825</v>
      </c>
      <c r="B631" s="17">
        <v>45191</v>
      </c>
      <c r="C631" s="17">
        <v>45191</v>
      </c>
      <c r="D631" t="s">
        <v>1826</v>
      </c>
      <c r="E631" t="s">
        <v>1827</v>
      </c>
    </row>
    <row r="632" spans="1:5" x14ac:dyDescent="0.3">
      <c r="A632" t="s">
        <v>1828</v>
      </c>
      <c r="B632" s="17">
        <v>45192</v>
      </c>
      <c r="C632" s="17">
        <v>45192</v>
      </c>
      <c r="D632" t="s">
        <v>1829</v>
      </c>
      <c r="E632" t="s">
        <v>513</v>
      </c>
    </row>
    <row r="633" spans="1:5" x14ac:dyDescent="0.3">
      <c r="A633" t="s">
        <v>1830</v>
      </c>
      <c r="B633" s="17">
        <v>45193</v>
      </c>
      <c r="C633" s="17">
        <v>45193</v>
      </c>
      <c r="D633" t="s">
        <v>1831</v>
      </c>
      <c r="E633" t="s">
        <v>1832</v>
      </c>
    </row>
    <row r="634" spans="1:5" x14ac:dyDescent="0.3">
      <c r="A634" t="s">
        <v>1833</v>
      </c>
      <c r="B634" s="17">
        <v>45194</v>
      </c>
      <c r="C634" s="17">
        <v>45194</v>
      </c>
      <c r="D634" t="s">
        <v>1834</v>
      </c>
      <c r="E634" t="s">
        <v>1835</v>
      </c>
    </row>
    <row r="635" spans="1:5" x14ac:dyDescent="0.3">
      <c r="A635" t="s">
        <v>1836</v>
      </c>
      <c r="B635" s="17">
        <v>45195</v>
      </c>
      <c r="C635" s="17">
        <v>45195</v>
      </c>
      <c r="D635" t="s">
        <v>1254</v>
      </c>
      <c r="E635" t="s">
        <v>1837</v>
      </c>
    </row>
    <row r="636" spans="1:5" x14ac:dyDescent="0.3">
      <c r="A636" t="s">
        <v>1838</v>
      </c>
      <c r="B636" s="17">
        <v>45196</v>
      </c>
      <c r="C636" s="17">
        <v>45196</v>
      </c>
      <c r="D636" t="s">
        <v>1839</v>
      </c>
      <c r="E636" t="s">
        <v>514</v>
      </c>
    </row>
    <row r="637" spans="1:5" x14ac:dyDescent="0.3">
      <c r="A637" t="s">
        <v>1840</v>
      </c>
      <c r="B637" s="17">
        <v>45197</v>
      </c>
      <c r="C637" s="17">
        <v>45197</v>
      </c>
      <c r="D637" t="s">
        <v>1841</v>
      </c>
      <c r="E637" t="s">
        <v>1842</v>
      </c>
    </row>
    <row r="638" spans="1:5" x14ac:dyDescent="0.3">
      <c r="A638" t="s">
        <v>1843</v>
      </c>
      <c r="B638" s="17">
        <v>45198</v>
      </c>
      <c r="C638" s="17">
        <v>45198</v>
      </c>
      <c r="D638" t="s">
        <v>1844</v>
      </c>
      <c r="E638" t="s">
        <v>515</v>
      </c>
    </row>
    <row r="639" spans="1:5" x14ac:dyDescent="0.3">
      <c r="A639" t="s">
        <v>1845</v>
      </c>
      <c r="B639" s="17">
        <v>45199</v>
      </c>
      <c r="C639" s="17">
        <v>45199</v>
      </c>
      <c r="D639" t="s">
        <v>1846</v>
      </c>
      <c r="E639" t="s">
        <v>1847</v>
      </c>
    </row>
    <row r="640" spans="1:5" x14ac:dyDescent="0.3">
      <c r="A640" t="s">
        <v>1848</v>
      </c>
      <c r="B640" s="17">
        <v>45200</v>
      </c>
      <c r="C640" s="17">
        <v>45200</v>
      </c>
      <c r="D640" t="s">
        <v>1849</v>
      </c>
      <c r="E640" t="s">
        <v>1850</v>
      </c>
    </row>
    <row r="641" spans="1:5" x14ac:dyDescent="0.3">
      <c r="A641" t="s">
        <v>1851</v>
      </c>
      <c r="B641" s="17">
        <v>45201</v>
      </c>
      <c r="C641" s="17">
        <v>45201</v>
      </c>
      <c r="D641" t="s">
        <v>1852</v>
      </c>
      <c r="E641" t="s">
        <v>516</v>
      </c>
    </row>
    <row r="642" spans="1:5" x14ac:dyDescent="0.3">
      <c r="A642" t="s">
        <v>1853</v>
      </c>
      <c r="B642" s="17">
        <v>45202</v>
      </c>
      <c r="C642" s="17">
        <v>45202</v>
      </c>
      <c r="D642" t="s">
        <v>1854</v>
      </c>
      <c r="E642" t="s">
        <v>1855</v>
      </c>
    </row>
    <row r="643" spans="1:5" x14ac:dyDescent="0.3">
      <c r="A643" t="s">
        <v>1856</v>
      </c>
      <c r="B643" s="17">
        <v>45203</v>
      </c>
      <c r="C643" s="17">
        <v>45203</v>
      </c>
      <c r="D643" t="s">
        <v>1857</v>
      </c>
      <c r="E643" t="s">
        <v>517</v>
      </c>
    </row>
    <row r="644" spans="1:5" x14ac:dyDescent="0.3">
      <c r="A644" t="s">
        <v>1858</v>
      </c>
      <c r="B644" s="17">
        <v>45204</v>
      </c>
      <c r="C644" s="17">
        <v>45204</v>
      </c>
      <c r="D644" t="s">
        <v>1859</v>
      </c>
      <c r="E644" t="s">
        <v>1860</v>
      </c>
    </row>
    <row r="645" spans="1:5" x14ac:dyDescent="0.3">
      <c r="A645" t="s">
        <v>1861</v>
      </c>
      <c r="B645" s="17">
        <v>45205</v>
      </c>
      <c r="C645" s="17">
        <v>45205</v>
      </c>
      <c r="D645" t="s">
        <v>1862</v>
      </c>
      <c r="E645" t="s">
        <v>1863</v>
      </c>
    </row>
    <row r="646" spans="1:5" x14ac:dyDescent="0.3">
      <c r="A646" t="s">
        <v>1864</v>
      </c>
      <c r="B646" s="17">
        <v>45206</v>
      </c>
      <c r="C646" s="17">
        <v>45206</v>
      </c>
      <c r="D646" t="s">
        <v>1865</v>
      </c>
      <c r="E646" t="s">
        <v>1866</v>
      </c>
    </row>
    <row r="647" spans="1:5" x14ac:dyDescent="0.3">
      <c r="A647" t="s">
        <v>1867</v>
      </c>
      <c r="B647" s="17">
        <v>45207</v>
      </c>
      <c r="C647" s="17">
        <v>45207</v>
      </c>
      <c r="D647" t="s">
        <v>1868</v>
      </c>
      <c r="E647" t="s">
        <v>1869</v>
      </c>
    </row>
    <row r="648" spans="1:5" x14ac:dyDescent="0.3">
      <c r="A648" t="s">
        <v>1870</v>
      </c>
      <c r="B648" s="17">
        <v>45208</v>
      </c>
      <c r="C648" s="17">
        <v>45208</v>
      </c>
      <c r="D648" t="s">
        <v>1871</v>
      </c>
      <c r="E648" t="s">
        <v>1872</v>
      </c>
    </row>
    <row r="649" spans="1:5" x14ac:dyDescent="0.3">
      <c r="A649" t="s">
        <v>1873</v>
      </c>
      <c r="B649" s="17">
        <v>45209</v>
      </c>
      <c r="C649" s="17">
        <v>45209</v>
      </c>
      <c r="D649" t="s">
        <v>1874</v>
      </c>
      <c r="E649" t="s">
        <v>518</v>
      </c>
    </row>
    <row r="650" spans="1:5" x14ac:dyDescent="0.3">
      <c r="A650" t="s">
        <v>1875</v>
      </c>
      <c r="B650" s="17">
        <v>45210</v>
      </c>
      <c r="C650" s="17">
        <v>45210</v>
      </c>
      <c r="D650" t="s">
        <v>1876</v>
      </c>
      <c r="E650" t="s">
        <v>1877</v>
      </c>
    </row>
    <row r="651" spans="1:5" x14ac:dyDescent="0.3">
      <c r="A651" t="s">
        <v>1878</v>
      </c>
      <c r="B651" s="17">
        <v>45211</v>
      </c>
      <c r="C651" s="17">
        <v>45211</v>
      </c>
      <c r="D651" t="s">
        <v>1879</v>
      </c>
      <c r="E651" t="s">
        <v>519</v>
      </c>
    </row>
    <row r="652" spans="1:5" x14ac:dyDescent="0.3">
      <c r="A652" t="s">
        <v>1880</v>
      </c>
      <c r="B652" s="17">
        <v>45212</v>
      </c>
      <c r="C652" s="17">
        <v>45212</v>
      </c>
      <c r="D652" t="s">
        <v>1881</v>
      </c>
      <c r="E652" t="s">
        <v>1882</v>
      </c>
    </row>
    <row r="653" spans="1:5" x14ac:dyDescent="0.3">
      <c r="A653" t="s">
        <v>1883</v>
      </c>
      <c r="B653" s="17">
        <v>45213</v>
      </c>
      <c r="C653" s="17">
        <v>45213</v>
      </c>
      <c r="D653" t="s">
        <v>1884</v>
      </c>
      <c r="E653" t="s">
        <v>1885</v>
      </c>
    </row>
    <row r="654" spans="1:5" x14ac:dyDescent="0.3">
      <c r="A654" t="s">
        <v>1886</v>
      </c>
      <c r="B654" s="17">
        <v>45214</v>
      </c>
      <c r="C654" s="17">
        <v>45214</v>
      </c>
      <c r="D654" t="s">
        <v>1221</v>
      </c>
      <c r="E654" t="s">
        <v>520</v>
      </c>
    </row>
    <row r="655" spans="1:5" x14ac:dyDescent="0.3">
      <c r="A655" t="s">
        <v>1887</v>
      </c>
      <c r="B655" s="17">
        <v>45215</v>
      </c>
      <c r="C655" s="17">
        <v>45215</v>
      </c>
      <c r="D655" t="s">
        <v>1888</v>
      </c>
      <c r="E655" t="s">
        <v>1889</v>
      </c>
    </row>
    <row r="656" spans="1:5" x14ac:dyDescent="0.3">
      <c r="A656" t="s">
        <v>1890</v>
      </c>
      <c r="B656" s="17">
        <v>45216</v>
      </c>
      <c r="C656" s="17">
        <v>45216</v>
      </c>
      <c r="D656" t="s">
        <v>1891</v>
      </c>
      <c r="E656" t="s">
        <v>521</v>
      </c>
    </row>
    <row r="657" spans="1:5" x14ac:dyDescent="0.3">
      <c r="A657" t="s">
        <v>1892</v>
      </c>
      <c r="B657" s="17">
        <v>45217</v>
      </c>
      <c r="C657" s="17">
        <v>45217</v>
      </c>
      <c r="D657" t="s">
        <v>1893</v>
      </c>
      <c r="E657" t="s">
        <v>1894</v>
      </c>
    </row>
    <row r="658" spans="1:5" x14ac:dyDescent="0.3">
      <c r="A658" t="s">
        <v>1895</v>
      </c>
      <c r="B658" s="17">
        <v>45218</v>
      </c>
      <c r="C658" s="17">
        <v>45218</v>
      </c>
      <c r="D658" t="s">
        <v>1896</v>
      </c>
      <c r="E658" t="s">
        <v>1897</v>
      </c>
    </row>
    <row r="659" spans="1:5" x14ac:dyDescent="0.3">
      <c r="A659" t="s">
        <v>1898</v>
      </c>
      <c r="B659" s="17">
        <v>45219</v>
      </c>
      <c r="C659" s="17">
        <v>45219</v>
      </c>
      <c r="D659" t="s">
        <v>1899</v>
      </c>
      <c r="E659" t="s">
        <v>522</v>
      </c>
    </row>
    <row r="660" spans="1:5" x14ac:dyDescent="0.3">
      <c r="A660" t="s">
        <v>1900</v>
      </c>
      <c r="B660" s="17">
        <v>45220</v>
      </c>
      <c r="C660" s="17">
        <v>45220</v>
      </c>
      <c r="D660" t="s">
        <v>1901</v>
      </c>
      <c r="E660" t="s">
        <v>523</v>
      </c>
    </row>
    <row r="661" spans="1:5" x14ac:dyDescent="0.3">
      <c r="A661" t="s">
        <v>1902</v>
      </c>
      <c r="B661" s="17">
        <v>45221</v>
      </c>
      <c r="C661" s="17">
        <v>45221</v>
      </c>
      <c r="D661" t="s">
        <v>1903</v>
      </c>
      <c r="E661" t="s">
        <v>524</v>
      </c>
    </row>
    <row r="662" spans="1:5" x14ac:dyDescent="0.3">
      <c r="A662" t="s">
        <v>1904</v>
      </c>
      <c r="B662" s="17">
        <v>45222</v>
      </c>
      <c r="C662" s="17">
        <v>45222</v>
      </c>
      <c r="D662" t="s">
        <v>1905</v>
      </c>
      <c r="E662" t="s">
        <v>1906</v>
      </c>
    </row>
    <row r="663" spans="1:5" x14ac:dyDescent="0.3">
      <c r="A663" t="s">
        <v>1907</v>
      </c>
      <c r="B663" s="17">
        <v>45223</v>
      </c>
      <c r="C663" s="17">
        <v>45223</v>
      </c>
      <c r="D663" t="s">
        <v>1908</v>
      </c>
      <c r="E663" t="s">
        <v>1909</v>
      </c>
    </row>
    <row r="664" spans="1:5" x14ac:dyDescent="0.3">
      <c r="A664" t="s">
        <v>1910</v>
      </c>
      <c r="B664" s="17">
        <v>45224</v>
      </c>
      <c r="C664" s="17">
        <v>45224</v>
      </c>
      <c r="D664" t="s">
        <v>1911</v>
      </c>
      <c r="E664" t="s">
        <v>525</v>
      </c>
    </row>
    <row r="665" spans="1:5" x14ac:dyDescent="0.3">
      <c r="A665" t="s">
        <v>1912</v>
      </c>
      <c r="B665" s="17">
        <v>45225</v>
      </c>
      <c r="C665" s="17">
        <v>45225</v>
      </c>
      <c r="D665" t="s">
        <v>1913</v>
      </c>
      <c r="E665" t="s">
        <v>1914</v>
      </c>
    </row>
    <row r="666" spans="1:5" x14ac:dyDescent="0.3">
      <c r="A666" t="s">
        <v>1915</v>
      </c>
      <c r="B666" s="17">
        <v>45226</v>
      </c>
      <c r="C666" s="17">
        <v>45226</v>
      </c>
      <c r="D666" t="s">
        <v>1916</v>
      </c>
      <c r="E666" t="s">
        <v>526</v>
      </c>
    </row>
    <row r="667" spans="1:5" x14ac:dyDescent="0.3">
      <c r="A667" t="s">
        <v>1917</v>
      </c>
      <c r="B667" s="17">
        <v>45227</v>
      </c>
      <c r="C667" s="17">
        <v>45227</v>
      </c>
      <c r="D667" t="s">
        <v>1918</v>
      </c>
      <c r="E667" t="s">
        <v>527</v>
      </c>
    </row>
    <row r="668" spans="1:5" x14ac:dyDescent="0.3">
      <c r="A668" t="s">
        <v>1919</v>
      </c>
      <c r="B668" s="17">
        <v>45228</v>
      </c>
      <c r="C668" s="17">
        <v>45228</v>
      </c>
      <c r="D668" t="s">
        <v>1176</v>
      </c>
      <c r="E668" t="s">
        <v>528</v>
      </c>
    </row>
    <row r="669" spans="1:5" x14ac:dyDescent="0.3">
      <c r="A669" t="s">
        <v>1920</v>
      </c>
      <c r="B669" s="17">
        <v>45229</v>
      </c>
      <c r="C669" s="17">
        <v>45229</v>
      </c>
      <c r="D669" t="s">
        <v>1178</v>
      </c>
      <c r="E669" t="s">
        <v>1921</v>
      </c>
    </row>
    <row r="670" spans="1:5" x14ac:dyDescent="0.3">
      <c r="A670" t="s">
        <v>1922</v>
      </c>
      <c r="B670" s="17">
        <v>45230</v>
      </c>
      <c r="C670" s="17">
        <v>45230</v>
      </c>
      <c r="D670" t="s">
        <v>1180</v>
      </c>
      <c r="E670" t="s">
        <v>529</v>
      </c>
    </row>
    <row r="671" spans="1:5" x14ac:dyDescent="0.3">
      <c r="A671" t="s">
        <v>1923</v>
      </c>
      <c r="B671" s="17">
        <v>45231</v>
      </c>
      <c r="C671" s="17">
        <v>45231</v>
      </c>
      <c r="D671" t="s">
        <v>1182</v>
      </c>
      <c r="E671" t="s">
        <v>1924</v>
      </c>
    </row>
    <row r="672" spans="1:5" x14ac:dyDescent="0.3">
      <c r="A672" t="s">
        <v>1925</v>
      </c>
      <c r="B672" s="17">
        <v>45232</v>
      </c>
      <c r="C672" s="17">
        <v>45232</v>
      </c>
      <c r="D672" t="s">
        <v>1926</v>
      </c>
      <c r="E672" t="s">
        <v>1927</v>
      </c>
    </row>
    <row r="673" spans="1:5" x14ac:dyDescent="0.3">
      <c r="A673" t="s">
        <v>1928</v>
      </c>
      <c r="B673" s="17">
        <v>45233</v>
      </c>
      <c r="C673" s="17">
        <v>45233</v>
      </c>
      <c r="D673" t="s">
        <v>1926</v>
      </c>
      <c r="E673" t="s">
        <v>1929</v>
      </c>
    </row>
    <row r="674" spans="1:5" x14ac:dyDescent="0.3">
      <c r="A674" t="s">
        <v>1930</v>
      </c>
      <c r="B674" s="17">
        <v>45234</v>
      </c>
      <c r="C674" s="17">
        <v>45234</v>
      </c>
      <c r="D674" t="s">
        <v>1926</v>
      </c>
      <c r="E674" t="s">
        <v>530</v>
      </c>
    </row>
    <row r="675" spans="1:5" x14ac:dyDescent="0.3">
      <c r="A675" t="s">
        <v>1931</v>
      </c>
      <c r="B675" s="17">
        <v>45235</v>
      </c>
      <c r="C675" s="17">
        <v>45235</v>
      </c>
      <c r="D675" t="s">
        <v>1184</v>
      </c>
      <c r="E675" t="s">
        <v>1932</v>
      </c>
    </row>
    <row r="676" spans="1:5" x14ac:dyDescent="0.3">
      <c r="A676" t="s">
        <v>1933</v>
      </c>
      <c r="B676" s="17">
        <v>45236</v>
      </c>
      <c r="C676" s="17">
        <v>45236</v>
      </c>
      <c r="D676" t="s">
        <v>1934</v>
      </c>
      <c r="E676" t="s">
        <v>1935</v>
      </c>
    </row>
    <row r="677" spans="1:5" x14ac:dyDescent="0.3">
      <c r="A677" t="s">
        <v>1936</v>
      </c>
      <c r="B677" s="17">
        <v>45237</v>
      </c>
      <c r="C677" s="17">
        <v>45237</v>
      </c>
      <c r="D677" t="s">
        <v>1937</v>
      </c>
      <c r="E677" t="s">
        <v>531</v>
      </c>
    </row>
    <row r="678" spans="1:5" x14ac:dyDescent="0.3">
      <c r="A678" t="s">
        <v>1938</v>
      </c>
      <c r="B678" s="17">
        <v>45238</v>
      </c>
      <c r="C678" s="17">
        <v>45238</v>
      </c>
      <c r="D678" t="s">
        <v>1939</v>
      </c>
      <c r="E678" t="s">
        <v>1940</v>
      </c>
    </row>
    <row r="679" spans="1:5" x14ac:dyDescent="0.3">
      <c r="A679" t="s">
        <v>1941</v>
      </c>
      <c r="B679" s="17">
        <v>45239</v>
      </c>
      <c r="C679" s="17">
        <v>45239</v>
      </c>
      <c r="D679" t="s">
        <v>1174</v>
      </c>
      <c r="E679" t="s">
        <v>1942</v>
      </c>
    </row>
    <row r="680" spans="1:5" x14ac:dyDescent="0.3">
      <c r="A680" t="s">
        <v>1943</v>
      </c>
      <c r="B680" s="17">
        <v>45240</v>
      </c>
      <c r="C680" s="17">
        <v>45240</v>
      </c>
      <c r="D680" t="s">
        <v>1172</v>
      </c>
      <c r="E680" t="s">
        <v>532</v>
      </c>
    </row>
    <row r="681" spans="1:5" x14ac:dyDescent="0.3">
      <c r="A681" t="s">
        <v>1944</v>
      </c>
      <c r="B681" s="17">
        <v>45241</v>
      </c>
      <c r="C681" s="17">
        <v>45241</v>
      </c>
      <c r="D681" t="s">
        <v>1913</v>
      </c>
      <c r="E681" t="s">
        <v>533</v>
      </c>
    </row>
    <row r="682" spans="1:5" x14ac:dyDescent="0.3">
      <c r="A682" t="s">
        <v>1945</v>
      </c>
      <c r="B682" s="17">
        <v>45242</v>
      </c>
      <c r="C682" s="17">
        <v>45242</v>
      </c>
      <c r="D682" t="s">
        <v>1911</v>
      </c>
      <c r="E682" t="s">
        <v>1946</v>
      </c>
    </row>
    <row r="683" spans="1:5" x14ac:dyDescent="0.3">
      <c r="A683" t="s">
        <v>1947</v>
      </c>
      <c r="B683" s="17">
        <v>45243</v>
      </c>
      <c r="C683" s="17">
        <v>45243</v>
      </c>
      <c r="D683" t="s">
        <v>1908</v>
      </c>
      <c r="E683" t="s">
        <v>534</v>
      </c>
    </row>
    <row r="684" spans="1:5" x14ac:dyDescent="0.3">
      <c r="A684" t="s">
        <v>1948</v>
      </c>
      <c r="B684" s="17">
        <v>45244</v>
      </c>
      <c r="C684" s="17">
        <v>45244</v>
      </c>
      <c r="D684" t="s">
        <v>1905</v>
      </c>
      <c r="E684" t="s">
        <v>535</v>
      </c>
    </row>
    <row r="685" spans="1:5" x14ac:dyDescent="0.3">
      <c r="A685" t="s">
        <v>1949</v>
      </c>
      <c r="B685" s="17">
        <v>45245</v>
      </c>
      <c r="C685" s="17">
        <v>45245</v>
      </c>
      <c r="D685" t="s">
        <v>1950</v>
      </c>
      <c r="E685" t="s">
        <v>1951</v>
      </c>
    </row>
    <row r="686" spans="1:5" x14ac:dyDescent="0.3">
      <c r="A686" t="s">
        <v>1952</v>
      </c>
      <c r="B686" s="17">
        <v>45246</v>
      </c>
      <c r="C686" s="17">
        <v>45246</v>
      </c>
      <c r="D686" t="s">
        <v>1953</v>
      </c>
      <c r="E686" t="s">
        <v>1954</v>
      </c>
    </row>
    <row r="687" spans="1:5" x14ac:dyDescent="0.3">
      <c r="A687" t="s">
        <v>1955</v>
      </c>
      <c r="B687" s="17">
        <v>45247</v>
      </c>
      <c r="C687" s="17">
        <v>45247</v>
      </c>
      <c r="D687" t="s">
        <v>1956</v>
      </c>
      <c r="E687" t="s">
        <v>1957</v>
      </c>
    </row>
    <row r="688" spans="1:5" x14ac:dyDescent="0.3">
      <c r="A688" t="s">
        <v>1958</v>
      </c>
      <c r="B688" s="17">
        <v>45248</v>
      </c>
      <c r="C688" s="17">
        <v>45248</v>
      </c>
      <c r="D688" t="s">
        <v>1959</v>
      </c>
      <c r="E688" t="s">
        <v>536</v>
      </c>
    </row>
    <row r="689" spans="1:5" x14ac:dyDescent="0.3">
      <c r="A689" t="s">
        <v>1960</v>
      </c>
      <c r="B689" s="17">
        <v>45249</v>
      </c>
      <c r="C689" s="17">
        <v>45249</v>
      </c>
      <c r="D689" t="s">
        <v>1961</v>
      </c>
      <c r="E689" t="s">
        <v>1962</v>
      </c>
    </row>
    <row r="690" spans="1:5" x14ac:dyDescent="0.3">
      <c r="A690" t="s">
        <v>1963</v>
      </c>
      <c r="B690" s="17">
        <v>45250</v>
      </c>
      <c r="C690" s="17">
        <v>45250</v>
      </c>
      <c r="D690" t="s">
        <v>1148</v>
      </c>
      <c r="E690" t="s">
        <v>537</v>
      </c>
    </row>
    <row r="691" spans="1:5" x14ac:dyDescent="0.3">
      <c r="A691" t="s">
        <v>1964</v>
      </c>
      <c r="B691" s="17">
        <v>45251</v>
      </c>
      <c r="C691" s="17">
        <v>45251</v>
      </c>
      <c r="D691" t="s">
        <v>1146</v>
      </c>
      <c r="E691" t="s">
        <v>1965</v>
      </c>
    </row>
    <row r="692" spans="1:5" x14ac:dyDescent="0.3">
      <c r="A692" t="s">
        <v>1966</v>
      </c>
      <c r="B692" s="17">
        <v>45252</v>
      </c>
      <c r="C692" s="17">
        <v>45252</v>
      </c>
      <c r="D692" t="s">
        <v>1884</v>
      </c>
      <c r="E692" t="s">
        <v>538</v>
      </c>
    </row>
    <row r="693" spans="1:5" x14ac:dyDescent="0.3">
      <c r="A693" t="s">
        <v>1967</v>
      </c>
      <c r="B693" s="17">
        <v>45253</v>
      </c>
      <c r="C693" s="17">
        <v>45253</v>
      </c>
      <c r="D693" t="s">
        <v>1968</v>
      </c>
      <c r="E693" t="s">
        <v>539</v>
      </c>
    </row>
    <row r="694" spans="1:5" x14ac:dyDescent="0.3">
      <c r="A694" t="s">
        <v>1969</v>
      </c>
      <c r="B694" s="17">
        <v>45254</v>
      </c>
      <c r="C694" s="17">
        <v>45254</v>
      </c>
      <c r="D694" t="s">
        <v>1970</v>
      </c>
      <c r="E694" t="s">
        <v>540</v>
      </c>
    </row>
    <row r="695" spans="1:5" x14ac:dyDescent="0.3">
      <c r="A695" t="s">
        <v>1971</v>
      </c>
      <c r="B695" s="17">
        <v>45255</v>
      </c>
      <c r="C695" s="17">
        <v>45255</v>
      </c>
      <c r="D695" t="s">
        <v>1972</v>
      </c>
      <c r="E695" t="s">
        <v>1973</v>
      </c>
    </row>
    <row r="696" spans="1:5" x14ac:dyDescent="0.3">
      <c r="A696" t="s">
        <v>1974</v>
      </c>
      <c r="B696" s="17">
        <v>45256</v>
      </c>
      <c r="C696" s="17">
        <v>45256</v>
      </c>
      <c r="D696" t="s">
        <v>1975</v>
      </c>
      <c r="E696" t="s">
        <v>1976</v>
      </c>
    </row>
    <row r="697" spans="1:5" x14ac:dyDescent="0.3">
      <c r="A697" t="s">
        <v>1977</v>
      </c>
      <c r="B697" s="17">
        <v>45257</v>
      </c>
      <c r="C697" s="17">
        <v>45257</v>
      </c>
      <c r="D697" t="s">
        <v>1978</v>
      </c>
      <c r="E697" t="s">
        <v>541</v>
      </c>
    </row>
    <row r="698" spans="1:5" x14ac:dyDescent="0.3">
      <c r="A698" t="s">
        <v>1979</v>
      </c>
      <c r="B698" s="17">
        <v>45258</v>
      </c>
      <c r="C698" s="17">
        <v>45258</v>
      </c>
      <c r="D698" t="s">
        <v>1129</v>
      </c>
      <c r="E698" t="s">
        <v>542</v>
      </c>
    </row>
    <row r="699" spans="1:5" x14ac:dyDescent="0.3">
      <c r="A699" t="s">
        <v>1980</v>
      </c>
      <c r="B699" s="17">
        <v>45259</v>
      </c>
      <c r="C699" s="17">
        <v>45259</v>
      </c>
      <c r="D699" t="s">
        <v>1862</v>
      </c>
      <c r="E699" t="s">
        <v>543</v>
      </c>
    </row>
    <row r="700" spans="1:5" x14ac:dyDescent="0.3">
      <c r="A700" t="s">
        <v>1981</v>
      </c>
      <c r="B700" s="17">
        <v>45260</v>
      </c>
      <c r="C700" s="17">
        <v>45260</v>
      </c>
      <c r="D700" t="s">
        <v>1982</v>
      </c>
      <c r="E700" t="s">
        <v>1983</v>
      </c>
    </row>
    <row r="701" spans="1:5" x14ac:dyDescent="0.3">
      <c r="A701" t="s">
        <v>1984</v>
      </c>
      <c r="B701" s="17">
        <v>45261</v>
      </c>
      <c r="C701" s="17">
        <v>45261</v>
      </c>
      <c r="D701" t="s">
        <v>1985</v>
      </c>
      <c r="E701" t="s">
        <v>544</v>
      </c>
    </row>
    <row r="702" spans="1:5" x14ac:dyDescent="0.3">
      <c r="A702" t="s">
        <v>1986</v>
      </c>
      <c r="B702" s="17">
        <v>45262</v>
      </c>
      <c r="C702" s="17">
        <v>45262</v>
      </c>
      <c r="D702" t="s">
        <v>1987</v>
      </c>
      <c r="E702" t="s">
        <v>545</v>
      </c>
    </row>
    <row r="703" spans="1:5" x14ac:dyDescent="0.3">
      <c r="A703" t="s">
        <v>1988</v>
      </c>
      <c r="B703" s="17">
        <v>45263</v>
      </c>
      <c r="C703" s="17">
        <v>45263</v>
      </c>
      <c r="D703" t="s">
        <v>1989</v>
      </c>
      <c r="E703" t="s">
        <v>546</v>
      </c>
    </row>
    <row r="704" spans="1:5" x14ac:dyDescent="0.3">
      <c r="A704" t="s">
        <v>1990</v>
      </c>
      <c r="B704" s="17">
        <v>45264</v>
      </c>
      <c r="C704" s="17">
        <v>45264</v>
      </c>
      <c r="D704" t="s">
        <v>1846</v>
      </c>
      <c r="E704" t="s">
        <v>547</v>
      </c>
    </row>
    <row r="705" spans="1:5" x14ac:dyDescent="0.3">
      <c r="A705" t="s">
        <v>1991</v>
      </c>
      <c r="B705" s="17">
        <v>45265</v>
      </c>
      <c r="C705" s="17">
        <v>45265</v>
      </c>
      <c r="D705" t="s">
        <v>1992</v>
      </c>
      <c r="E705" t="s">
        <v>1993</v>
      </c>
    </row>
    <row r="706" spans="1:5" x14ac:dyDescent="0.3">
      <c r="A706" t="s">
        <v>1994</v>
      </c>
      <c r="B706" s="17">
        <v>45266</v>
      </c>
      <c r="C706" s="17">
        <v>45266</v>
      </c>
      <c r="D706" t="s">
        <v>1995</v>
      </c>
      <c r="E706" t="s">
        <v>548</v>
      </c>
    </row>
    <row r="707" spans="1:5" x14ac:dyDescent="0.3">
      <c r="A707" t="s">
        <v>1996</v>
      </c>
      <c r="B707" s="17">
        <v>45267</v>
      </c>
      <c r="C707" s="17">
        <v>45267</v>
      </c>
      <c r="D707" t="s">
        <v>1997</v>
      </c>
      <c r="E707" t="s">
        <v>549</v>
      </c>
    </row>
    <row r="708" spans="1:5" x14ac:dyDescent="0.3">
      <c r="A708" t="s">
        <v>1998</v>
      </c>
      <c r="B708" s="17">
        <v>45268</v>
      </c>
      <c r="C708" s="17">
        <v>45268</v>
      </c>
      <c r="D708" t="s">
        <v>1999</v>
      </c>
      <c r="E708" t="s">
        <v>550</v>
      </c>
    </row>
    <row r="709" spans="1:5" x14ac:dyDescent="0.3">
      <c r="A709" t="s">
        <v>2000</v>
      </c>
      <c r="B709" s="17">
        <v>45269</v>
      </c>
      <c r="C709" s="17">
        <v>45269</v>
      </c>
      <c r="D709" t="s">
        <v>2001</v>
      </c>
      <c r="E709" t="s">
        <v>551</v>
      </c>
    </row>
    <row r="710" spans="1:5" x14ac:dyDescent="0.3">
      <c r="A710" t="s">
        <v>2002</v>
      </c>
      <c r="B710" s="17">
        <v>45270</v>
      </c>
      <c r="C710" s="17">
        <v>45270</v>
      </c>
      <c r="D710" t="s">
        <v>2003</v>
      </c>
      <c r="E710" t="s">
        <v>552</v>
      </c>
    </row>
    <row r="711" spans="1:5" x14ac:dyDescent="0.3">
      <c r="A711" t="s">
        <v>2004</v>
      </c>
      <c r="B711" s="17">
        <v>45271</v>
      </c>
      <c r="C711" s="17">
        <v>45271</v>
      </c>
      <c r="D711" t="s">
        <v>2005</v>
      </c>
      <c r="E711" t="s">
        <v>2006</v>
      </c>
    </row>
    <row r="712" spans="1:5" x14ac:dyDescent="0.3">
      <c r="A712" t="s">
        <v>2007</v>
      </c>
      <c r="B712" s="17">
        <v>45272</v>
      </c>
      <c r="C712" s="17">
        <v>45272</v>
      </c>
      <c r="D712" t="s">
        <v>2008</v>
      </c>
      <c r="E712" t="s">
        <v>553</v>
      </c>
    </row>
    <row r="713" spans="1:5" x14ac:dyDescent="0.3">
      <c r="A713" t="s">
        <v>2009</v>
      </c>
      <c r="B713" s="17">
        <v>45273</v>
      </c>
      <c r="C713" s="17">
        <v>45273</v>
      </c>
      <c r="D713" t="s">
        <v>2010</v>
      </c>
      <c r="E713" t="s">
        <v>554</v>
      </c>
    </row>
    <row r="714" spans="1:5" x14ac:dyDescent="0.3">
      <c r="A714" t="s">
        <v>2011</v>
      </c>
      <c r="B714" s="17">
        <v>45274</v>
      </c>
      <c r="C714" s="17">
        <v>45274</v>
      </c>
      <c r="D714" t="s">
        <v>1084</v>
      </c>
      <c r="E714" t="s">
        <v>555</v>
      </c>
    </row>
    <row r="715" spans="1:5" x14ac:dyDescent="0.3">
      <c r="A715" t="s">
        <v>2012</v>
      </c>
      <c r="B715" s="17">
        <v>45275</v>
      </c>
      <c r="C715" s="17">
        <v>45275</v>
      </c>
      <c r="D715" t="s">
        <v>2013</v>
      </c>
      <c r="E715" t="s">
        <v>556</v>
      </c>
    </row>
    <row r="716" spans="1:5" x14ac:dyDescent="0.3">
      <c r="A716" t="s">
        <v>2014</v>
      </c>
      <c r="B716" s="17">
        <v>45276</v>
      </c>
      <c r="C716" s="17">
        <v>45276</v>
      </c>
      <c r="D716" t="s">
        <v>2015</v>
      </c>
      <c r="E716" t="s">
        <v>557</v>
      </c>
    </row>
    <row r="717" spans="1:5" x14ac:dyDescent="0.3">
      <c r="A717" t="s">
        <v>2016</v>
      </c>
      <c r="B717" s="17">
        <v>45277</v>
      </c>
      <c r="C717" s="17">
        <v>45277</v>
      </c>
      <c r="D717" t="s">
        <v>2017</v>
      </c>
      <c r="E717" t="s">
        <v>558</v>
      </c>
    </row>
    <row r="718" spans="1:5" x14ac:dyDescent="0.3">
      <c r="A718" t="s">
        <v>2018</v>
      </c>
      <c r="B718" s="17">
        <v>45278</v>
      </c>
      <c r="C718" s="17">
        <v>45278</v>
      </c>
      <c r="D718" t="s">
        <v>844</v>
      </c>
      <c r="E718" t="s">
        <v>559</v>
      </c>
    </row>
    <row r="719" spans="1:5" x14ac:dyDescent="0.3">
      <c r="A719" t="s">
        <v>2019</v>
      </c>
      <c r="B719" s="17">
        <v>45279</v>
      </c>
      <c r="C719" s="17">
        <v>45279</v>
      </c>
      <c r="D719" t="s">
        <v>1604</v>
      </c>
      <c r="E719" t="s">
        <v>560</v>
      </c>
    </row>
    <row r="720" spans="1:5" x14ac:dyDescent="0.3">
      <c r="A720" t="s">
        <v>2020</v>
      </c>
      <c r="B720" s="17">
        <v>45280</v>
      </c>
      <c r="C720" s="17">
        <v>45280</v>
      </c>
      <c r="D720" t="s">
        <v>866</v>
      </c>
      <c r="E720" t="s">
        <v>561</v>
      </c>
    </row>
    <row r="721" spans="1:5" x14ac:dyDescent="0.3">
      <c r="A721" t="s">
        <v>2021</v>
      </c>
      <c r="B721" s="17">
        <v>45281</v>
      </c>
      <c r="C721" s="17">
        <v>45281</v>
      </c>
      <c r="D721" t="s">
        <v>2022</v>
      </c>
      <c r="E721" t="s">
        <v>562</v>
      </c>
    </row>
    <row r="722" spans="1:5" x14ac:dyDescent="0.3">
      <c r="A722" t="s">
        <v>2023</v>
      </c>
      <c r="B722" s="17">
        <v>45282</v>
      </c>
      <c r="C722" s="17">
        <v>45282</v>
      </c>
      <c r="D722" t="s">
        <v>1791</v>
      </c>
      <c r="E722" t="s">
        <v>563</v>
      </c>
    </row>
    <row r="723" spans="1:5" x14ac:dyDescent="0.3">
      <c r="A723" t="s">
        <v>2024</v>
      </c>
      <c r="B723" s="17">
        <v>45283</v>
      </c>
      <c r="C723" s="17">
        <v>45283</v>
      </c>
      <c r="D723" t="s">
        <v>790</v>
      </c>
      <c r="E723" t="s">
        <v>564</v>
      </c>
    </row>
    <row r="724" spans="1:5" x14ac:dyDescent="0.3">
      <c r="A724" t="s">
        <v>2025</v>
      </c>
      <c r="B724" s="17">
        <v>45284</v>
      </c>
      <c r="C724" s="17">
        <v>45284</v>
      </c>
      <c r="D724" t="s">
        <v>1631</v>
      </c>
      <c r="E724" t="s">
        <v>565</v>
      </c>
    </row>
    <row r="725" spans="1:5" x14ac:dyDescent="0.3">
      <c r="A725" t="s">
        <v>2026</v>
      </c>
      <c r="B725" s="17">
        <v>45285</v>
      </c>
      <c r="C725" s="17">
        <v>45285</v>
      </c>
      <c r="D725" t="s">
        <v>2027</v>
      </c>
      <c r="E725" t="s">
        <v>566</v>
      </c>
    </row>
    <row r="726" spans="1:5" x14ac:dyDescent="0.3">
      <c r="A726" t="s">
        <v>2028</v>
      </c>
      <c r="B726" s="17">
        <v>45286</v>
      </c>
      <c r="C726" s="17">
        <v>45286</v>
      </c>
      <c r="D726" t="s">
        <v>2029</v>
      </c>
      <c r="E726" t="s">
        <v>567</v>
      </c>
    </row>
    <row r="727" spans="1:5" x14ac:dyDescent="0.3">
      <c r="A727" t="s">
        <v>2030</v>
      </c>
      <c r="B727" s="17">
        <v>45287</v>
      </c>
      <c r="C727" s="17">
        <v>45287</v>
      </c>
      <c r="D727" t="s">
        <v>1643</v>
      </c>
      <c r="E727" t="s">
        <v>568</v>
      </c>
    </row>
    <row r="728" spans="1:5" x14ac:dyDescent="0.3">
      <c r="A728" t="s">
        <v>2031</v>
      </c>
      <c r="B728" s="17">
        <v>45288</v>
      </c>
      <c r="C728" s="17">
        <v>45288</v>
      </c>
      <c r="D728" t="s">
        <v>907</v>
      </c>
      <c r="E728" t="s">
        <v>569</v>
      </c>
    </row>
    <row r="729" spans="1:5" x14ac:dyDescent="0.3">
      <c r="A729" t="s">
        <v>2032</v>
      </c>
      <c r="B729" s="17">
        <v>45289</v>
      </c>
      <c r="C729" s="17">
        <v>45289</v>
      </c>
      <c r="D729" t="s">
        <v>2033</v>
      </c>
      <c r="E729" t="s">
        <v>570</v>
      </c>
    </row>
    <row r="730" spans="1:5" x14ac:dyDescent="0.3">
      <c r="A730" t="s">
        <v>2034</v>
      </c>
      <c r="B730" s="17">
        <v>45290</v>
      </c>
      <c r="C730" s="17">
        <v>45290</v>
      </c>
      <c r="D730" t="s">
        <v>2035</v>
      </c>
      <c r="E730" t="s">
        <v>571</v>
      </c>
    </row>
    <row r="731" spans="1:5" x14ac:dyDescent="0.3">
      <c r="A731" t="s">
        <v>2036</v>
      </c>
      <c r="B731" s="17">
        <v>45291</v>
      </c>
      <c r="C731" s="17">
        <v>45291</v>
      </c>
      <c r="D731" t="s">
        <v>2037</v>
      </c>
      <c r="E731" t="s">
        <v>572</v>
      </c>
    </row>
    <row r="732" spans="1:5" x14ac:dyDescent="0.3">
      <c r="C732"/>
    </row>
    <row r="733" spans="1:5" x14ac:dyDescent="0.3">
      <c r="C733"/>
    </row>
    <row r="734" spans="1:5" x14ac:dyDescent="0.3">
      <c r="C734"/>
    </row>
    <row r="735" spans="1:5" x14ac:dyDescent="0.3">
      <c r="C735"/>
    </row>
    <row r="736" spans="1:5" x14ac:dyDescent="0.3">
      <c r="C736"/>
    </row>
    <row r="737" spans="3:3" x14ac:dyDescent="0.3">
      <c r="C737"/>
    </row>
    <row r="738" spans="3:3" x14ac:dyDescent="0.3">
      <c r="C738"/>
    </row>
    <row r="739" spans="3:3" x14ac:dyDescent="0.3">
      <c r="C739"/>
    </row>
    <row r="740" spans="3:3" x14ac:dyDescent="0.3">
      <c r="C740"/>
    </row>
    <row r="741" spans="3:3" x14ac:dyDescent="0.3">
      <c r="C741"/>
    </row>
    <row r="742" spans="3:3" x14ac:dyDescent="0.3">
      <c r="C742"/>
    </row>
    <row r="743" spans="3:3" x14ac:dyDescent="0.3">
      <c r="C743"/>
    </row>
    <row r="744" spans="3:3" x14ac:dyDescent="0.3">
      <c r="C744"/>
    </row>
    <row r="745" spans="3:3" x14ac:dyDescent="0.3">
      <c r="C745"/>
    </row>
    <row r="746" spans="3:3" x14ac:dyDescent="0.3">
      <c r="C746"/>
    </row>
    <row r="747" spans="3:3" x14ac:dyDescent="0.3">
      <c r="C747"/>
    </row>
    <row r="748" spans="3:3" x14ac:dyDescent="0.3">
      <c r="C748"/>
    </row>
    <row r="749" spans="3:3" x14ac:dyDescent="0.3">
      <c r="C749"/>
    </row>
    <row r="750" spans="3:3" x14ac:dyDescent="0.3">
      <c r="C750"/>
    </row>
    <row r="751" spans="3:3" x14ac:dyDescent="0.3">
      <c r="C751"/>
    </row>
    <row r="752" spans="3:3" x14ac:dyDescent="0.3">
      <c r="C7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Hodgson</dc:creator>
  <cp:lastModifiedBy>Andrew Hodgson</cp:lastModifiedBy>
  <cp:lastPrinted>2022-10-23T10:35:20Z</cp:lastPrinted>
  <dcterms:created xsi:type="dcterms:W3CDTF">2022-10-23T09:39:44Z</dcterms:created>
  <dcterms:modified xsi:type="dcterms:W3CDTF">2022-10-27T17:30:30Z</dcterms:modified>
</cp:coreProperties>
</file>
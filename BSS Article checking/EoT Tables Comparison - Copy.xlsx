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e\Google Drive\Sundials\EoT Calendar Generator\BSS Article checking\"/>
    </mc:Choice>
  </mc:AlternateContent>
  <xr:revisionPtr revIDLastSave="0" documentId="13_ncr:1_{C360C205-300C-4B5A-A6A4-B92408C0FE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ariso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7" l="1"/>
  <c r="L20" i="7"/>
  <c r="M20" i="7" s="1"/>
  <c r="G20" i="7"/>
  <c r="P19" i="7"/>
  <c r="Q19" i="7" s="1"/>
  <c r="L19" i="7"/>
  <c r="M19" i="7" s="1"/>
  <c r="G19" i="7"/>
  <c r="H19" i="7" s="1"/>
  <c r="I19" i="7" s="1"/>
  <c r="Q18" i="7"/>
  <c r="P18" i="7"/>
  <c r="M18" i="7"/>
  <c r="L18" i="7"/>
  <c r="G18" i="7"/>
  <c r="H18" i="7" s="1"/>
  <c r="I18" i="7" s="1"/>
  <c r="P17" i="7"/>
  <c r="Q17" i="7" s="1"/>
  <c r="M17" i="7"/>
  <c r="L17" i="7"/>
  <c r="G17" i="7"/>
  <c r="Q16" i="7"/>
  <c r="P16" i="7"/>
  <c r="L16" i="7"/>
  <c r="M16" i="7" s="1"/>
  <c r="G16" i="7"/>
  <c r="H16" i="7" s="1"/>
  <c r="I16" i="7" s="1"/>
  <c r="Q15" i="7"/>
  <c r="P15" i="7"/>
  <c r="L15" i="7"/>
  <c r="M15" i="7" s="1"/>
  <c r="H15" i="7"/>
  <c r="I15" i="7" s="1"/>
  <c r="G15" i="7"/>
  <c r="P14" i="7"/>
  <c r="Q14" i="7" s="1"/>
  <c r="M14" i="7"/>
  <c r="L14" i="7"/>
  <c r="I14" i="7"/>
  <c r="H14" i="7"/>
  <c r="G14" i="7"/>
  <c r="P11" i="7"/>
  <c r="M11" i="7"/>
  <c r="L11" i="7"/>
  <c r="G11" i="7"/>
  <c r="P10" i="7"/>
  <c r="Q10" i="7" s="1"/>
  <c r="M10" i="7"/>
  <c r="L10" i="7"/>
  <c r="H10" i="7"/>
  <c r="I10" i="7" s="1"/>
  <c r="G10" i="7"/>
  <c r="P9" i="7"/>
  <c r="Q9" i="7" s="1"/>
  <c r="M9" i="7"/>
  <c r="L9" i="7"/>
  <c r="I9" i="7"/>
  <c r="H9" i="7"/>
  <c r="G9" i="7"/>
  <c r="Q8" i="7"/>
  <c r="P8" i="7"/>
  <c r="M8" i="7"/>
  <c r="L8" i="7"/>
  <c r="G8" i="7"/>
  <c r="H7" i="7" s="1"/>
  <c r="I7" i="7" s="1"/>
  <c r="Q7" i="7"/>
  <c r="P7" i="7"/>
  <c r="L7" i="7"/>
  <c r="M7" i="7" s="1"/>
  <c r="G7" i="7"/>
  <c r="P6" i="7"/>
  <c r="Q6" i="7" s="1"/>
  <c r="M6" i="7"/>
  <c r="L6" i="7"/>
  <c r="H6" i="7"/>
  <c r="I6" i="7" s="1"/>
  <c r="G6" i="7"/>
  <c r="Q5" i="7"/>
  <c r="P5" i="7"/>
  <c r="L5" i="7"/>
  <c r="M5" i="7" s="1"/>
  <c r="G5" i="7"/>
  <c r="H17" i="7" l="1"/>
  <c r="I17" i="7" s="1"/>
  <c r="H5" i="7"/>
  <c r="I5" i="7" s="1"/>
  <c r="H8" i="7"/>
  <c r="I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Hodgson</author>
  </authors>
  <commentList>
    <comment ref="E2" authorId="0" shapeId="0" xr:uid="{BDA38A81-D1A0-4B03-9107-FA46F543E90E}">
      <text>
        <r>
          <rPr>
            <b/>
            <sz val="9"/>
            <color indexed="81"/>
            <rFont val="Tahoma"/>
            <charset val="1"/>
          </rPr>
          <t>Andrew Hodgson:</t>
        </r>
        <r>
          <rPr>
            <sz val="9"/>
            <color indexed="81"/>
            <rFont val="Tahoma"/>
            <charset val="1"/>
          </rPr>
          <t xml:space="preserve">
Prepared Jointly by
The Nautical Almanac Office
United States Naval Observatory
and
Her Majesty’s Nautical Almanac Office
United Kingdom Hydrographic Office</t>
        </r>
      </text>
    </comment>
  </commentList>
</comments>
</file>

<file path=xl/sharedStrings.xml><?xml version="1.0" encoding="utf-8"?>
<sst xmlns="http://schemas.openxmlformats.org/spreadsheetml/2006/main" count="24" uniqueCount="16">
  <si>
    <t>min</t>
  </si>
  <si>
    <t>sec</t>
  </si>
  <si>
    <t>secs (00 UTC)</t>
  </si>
  <si>
    <t>secs (12 UTC)</t>
  </si>
  <si>
    <t>BSS Printed Card</t>
  </si>
  <si>
    <t>E of T at 12:00 GMT</t>
  </si>
  <si>
    <t>secs (12 GMT)</t>
  </si>
  <si>
    <t>Abs Discrep (s)</t>
  </si>
  <si>
    <t>Patrick Powers website</t>
  </si>
  <si>
    <t>HM Nautical Almanac Office</t>
  </si>
  <si>
    <t xml:space="preserve">"Meeus/Smart formula"
12Hrs (Noon) GMT </t>
  </si>
  <si>
    <t>Andrew Hodgson</t>
  </si>
  <si>
    <t>Daily EoT Calendar (using the Skyfield library)</t>
  </si>
  <si>
    <t>"Astronautical Phenomena 2022" p18</t>
  </si>
  <si>
    <t>secs (1200 UTC)</t>
  </si>
  <si>
    <t>interp'd secs (1200 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</si>
</sst>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horizontal="center" vertical="top" wrapText="1"/>
    </xf>
    <xf numFmtId="0" fontId="1" fillId="2" borderId="0" xfId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top" wrapText="1"/>
    </xf>
    <xf numFmtId="0" fontId="0" fillId="5" borderId="0" xfId="0" applyFill="1"/>
    <xf numFmtId="0" fontId="0" fillId="5" borderId="0" xfId="0" applyFill="1" applyAlignment="1">
      <alignment horizontal="center" vertical="top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vertical="top" wrapText="1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 vertical="top" wrapText="1"/>
    </xf>
    <xf numFmtId="2" fontId="0" fillId="0" borderId="0" xfId="0" applyNumberFormat="1"/>
    <xf numFmtId="2" fontId="0" fillId="8" borderId="0" xfId="0" applyNumberFormat="1" applyFill="1"/>
    <xf numFmtId="2" fontId="0" fillId="8" borderId="0" xfId="0" applyNumberFormat="1" applyFill="1" applyAlignment="1">
      <alignment horizontal="center" vertical="top" wrapText="1"/>
    </xf>
    <xf numFmtId="2" fontId="0" fillId="6" borderId="0" xfId="0" applyNumberFormat="1" applyFill="1" applyAlignment="1">
      <alignment horizontal="center" vertical="top" wrapText="1"/>
    </xf>
    <xf numFmtId="2" fontId="0" fillId="6" borderId="0" xfId="0" applyNumberFormat="1" applyFill="1"/>
    <xf numFmtId="164" fontId="0" fillId="0" borderId="0" xfId="0" applyNumberFormat="1"/>
    <xf numFmtId="164" fontId="0" fillId="6" borderId="0" xfId="0" applyNumberFormat="1" applyFill="1" applyAlignment="1">
      <alignment horizontal="center" vertical="top" wrapText="1"/>
    </xf>
    <xf numFmtId="164" fontId="0" fillId="6" borderId="0" xfId="0" applyNumberFormat="1" applyFill="1"/>
    <xf numFmtId="0" fontId="1" fillId="9" borderId="0" xfId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/>
    <xf numFmtId="0" fontId="0" fillId="10" borderId="0" xfId="0" applyFill="1" applyAlignment="1">
      <alignment horizontal="center" vertical="top" wrapText="1"/>
    </xf>
    <xf numFmtId="0" fontId="0" fillId="9" borderId="0" xfId="0" applyFill="1" applyAlignment="1">
      <alignment horizontal="center" wrapText="1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ppowers.com/EoT.htm" TargetMode="External"/><Relationship Id="rId1" Type="http://schemas.openxmlformats.org/officeDocument/2006/relationships/hyperlink" Target="https://astro.ukho.gov.uk/nao/AP_Download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EA1F-9219-4F34-A3DF-5366F1898741}">
  <dimension ref="A1:S2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3" sqref="D23"/>
    </sheetView>
  </sheetViews>
  <sheetFormatPr defaultRowHeight="14.4" x14ac:dyDescent="0.3"/>
  <cols>
    <col min="1" max="1" width="13.21875" customWidth="1"/>
    <col min="3" max="3" width="11.33203125" customWidth="1"/>
    <col min="4" max="4" width="9.6640625" style="18" customWidth="1"/>
    <col min="8" max="8" width="9.5546875" customWidth="1"/>
    <col min="9" max="9" width="8.88671875" style="23"/>
    <col min="17" max="17" width="8.88671875" style="18"/>
    <col min="19" max="19" width="9.21875" bestFit="1" customWidth="1"/>
  </cols>
  <sheetData>
    <row r="1" spans="1:19" x14ac:dyDescent="0.3">
      <c r="B1" s="33" t="s">
        <v>11</v>
      </c>
      <c r="C1" s="33"/>
      <c r="D1" s="33"/>
      <c r="E1" s="8" t="s">
        <v>9</v>
      </c>
      <c r="F1" s="8"/>
      <c r="G1" s="8"/>
      <c r="H1" s="8"/>
      <c r="J1" s="13" t="s">
        <v>4</v>
      </c>
      <c r="K1" s="13"/>
      <c r="L1" s="13"/>
      <c r="N1" s="26" t="s">
        <v>8</v>
      </c>
      <c r="O1" s="26"/>
      <c r="P1" s="26"/>
    </row>
    <row r="2" spans="1:19" ht="34.200000000000003" customHeight="1" x14ac:dyDescent="0.3">
      <c r="B2" s="35" t="s">
        <v>12</v>
      </c>
      <c r="C2" s="35"/>
      <c r="D2" s="35"/>
      <c r="E2" s="34" t="s">
        <v>13</v>
      </c>
      <c r="F2" s="3"/>
      <c r="G2" s="3"/>
      <c r="H2" s="3"/>
      <c r="J2" s="13" t="s">
        <v>5</v>
      </c>
      <c r="K2" s="13"/>
      <c r="L2" s="13"/>
      <c r="N2" s="32" t="s">
        <v>10</v>
      </c>
      <c r="O2" s="27"/>
      <c r="P2" s="27"/>
    </row>
    <row r="3" spans="1:19" x14ac:dyDescent="0.3">
      <c r="B3" s="16"/>
      <c r="C3" s="16"/>
      <c r="D3" s="19"/>
      <c r="E3" s="4"/>
      <c r="F3" s="4"/>
      <c r="G3" s="4"/>
      <c r="H3" s="6"/>
      <c r="J3" s="9"/>
      <c r="K3" s="9"/>
      <c r="L3" s="11"/>
      <c r="N3" s="28"/>
      <c r="O3" s="28"/>
      <c r="P3" s="30"/>
    </row>
    <row r="4" spans="1:19" s="2" customFormat="1" ht="43.2" x14ac:dyDescent="0.3">
      <c r="B4" s="17" t="s">
        <v>0</v>
      </c>
      <c r="C4" s="17" t="s">
        <v>1</v>
      </c>
      <c r="D4" s="20" t="s">
        <v>14</v>
      </c>
      <c r="E4" s="5" t="s">
        <v>0</v>
      </c>
      <c r="F4" s="5" t="s">
        <v>1</v>
      </c>
      <c r="G4" s="5" t="s">
        <v>2</v>
      </c>
      <c r="H4" s="7" t="s">
        <v>15</v>
      </c>
      <c r="I4" s="24" t="s">
        <v>7</v>
      </c>
      <c r="J4" s="10" t="s">
        <v>0</v>
      </c>
      <c r="K4" s="10" t="s">
        <v>1</v>
      </c>
      <c r="L4" s="12" t="s">
        <v>6</v>
      </c>
      <c r="M4" s="14" t="s">
        <v>7</v>
      </c>
      <c r="N4" s="29" t="s">
        <v>0</v>
      </c>
      <c r="O4" s="29" t="s">
        <v>1</v>
      </c>
      <c r="P4" s="31" t="s">
        <v>3</v>
      </c>
      <c r="Q4" s="21" t="s">
        <v>7</v>
      </c>
    </row>
    <row r="5" spans="1:19" x14ac:dyDescent="0.3">
      <c r="A5" s="1">
        <v>44917</v>
      </c>
      <c r="B5" s="16">
        <v>1</v>
      </c>
      <c r="C5" s="16">
        <v>26</v>
      </c>
      <c r="D5" s="19">
        <v>86.385000000000005</v>
      </c>
      <c r="E5" s="4">
        <v>1</v>
      </c>
      <c r="F5" s="4">
        <v>43</v>
      </c>
      <c r="G5" s="4">
        <f>E5*60+F5</f>
        <v>103</v>
      </c>
      <c r="H5" s="6">
        <f>(G6+G5)/2</f>
        <v>88</v>
      </c>
      <c r="I5" s="25">
        <f>ABS(D5-H5)</f>
        <v>1.6149999999999949</v>
      </c>
      <c r="J5" s="9">
        <v>-1</v>
      </c>
      <c r="K5" s="9">
        <v>-30</v>
      </c>
      <c r="L5" s="11">
        <f t="shared" ref="L5:L11" si="0">J5*60+K5</f>
        <v>-90</v>
      </c>
      <c r="M5" s="15">
        <f>ABS(L5+D5)</f>
        <v>3.6149999999999949</v>
      </c>
      <c r="N5" s="28">
        <v>1</v>
      </c>
      <c r="O5" s="28">
        <v>26</v>
      </c>
      <c r="P5" s="30">
        <f>N5*60+O5</f>
        <v>86</v>
      </c>
      <c r="Q5" s="22">
        <f>ABS(P5-D5)</f>
        <v>0.38500000000000512</v>
      </c>
    </row>
    <row r="6" spans="1:19" x14ac:dyDescent="0.3">
      <c r="A6" s="1">
        <v>44918</v>
      </c>
      <c r="B6" s="16">
        <v>0</v>
      </c>
      <c r="C6" s="16">
        <v>56</v>
      </c>
      <c r="D6" s="19">
        <v>56.427999999999997</v>
      </c>
      <c r="E6" s="4">
        <v>1</v>
      </c>
      <c r="F6" s="4">
        <v>13</v>
      </c>
      <c r="G6" s="4">
        <f t="shared" ref="G6:G11" si="1">E6*60+F6</f>
        <v>73</v>
      </c>
      <c r="H6" s="6">
        <f t="shared" ref="H6:H10" si="2">(G7+G6)/2</f>
        <v>58</v>
      </c>
      <c r="I6" s="25">
        <f>ABS(D6-H6)</f>
        <v>1.5720000000000027</v>
      </c>
      <c r="J6" s="9">
        <v>-1</v>
      </c>
      <c r="K6" s="9">
        <v>0</v>
      </c>
      <c r="L6" s="11">
        <f t="shared" si="0"/>
        <v>-60</v>
      </c>
      <c r="M6" s="15">
        <f t="shared" ref="M6:M11" si="3">ABS(L6+D6)</f>
        <v>3.5720000000000027</v>
      </c>
      <c r="N6" s="28">
        <v>0</v>
      </c>
      <c r="O6" s="28">
        <v>56</v>
      </c>
      <c r="P6" s="30">
        <f t="shared" ref="P6:P11" si="4">N6*60+O6</f>
        <v>56</v>
      </c>
      <c r="Q6" s="22">
        <f t="shared" ref="Q6:Q10" si="5">ABS(P6-D6)</f>
        <v>0.42799999999999727</v>
      </c>
    </row>
    <row r="7" spans="1:19" x14ac:dyDescent="0.3">
      <c r="A7" s="1">
        <v>44919</v>
      </c>
      <c r="B7" s="16">
        <v>0</v>
      </c>
      <c r="C7" s="16">
        <v>26</v>
      </c>
      <c r="D7" s="19">
        <v>26.49</v>
      </c>
      <c r="E7" s="4">
        <v>0</v>
      </c>
      <c r="F7" s="4">
        <v>43</v>
      </c>
      <c r="G7" s="4">
        <f t="shared" si="1"/>
        <v>43</v>
      </c>
      <c r="H7" s="6">
        <f t="shared" si="2"/>
        <v>28.5</v>
      </c>
      <c r="I7" s="25">
        <f>ABS(D7-H7)</f>
        <v>2.0100000000000016</v>
      </c>
      <c r="J7" s="9">
        <v>0</v>
      </c>
      <c r="K7" s="9">
        <v>-30</v>
      </c>
      <c r="L7" s="11">
        <f t="shared" si="0"/>
        <v>-30</v>
      </c>
      <c r="M7" s="15">
        <f t="shared" si="3"/>
        <v>3.5100000000000016</v>
      </c>
      <c r="N7" s="28">
        <v>0</v>
      </c>
      <c r="O7" s="28">
        <v>26</v>
      </c>
      <c r="P7" s="30">
        <f t="shared" si="4"/>
        <v>26</v>
      </c>
      <c r="Q7" s="22">
        <f t="shared" si="5"/>
        <v>0.48999999999999844</v>
      </c>
    </row>
    <row r="8" spans="1:19" x14ac:dyDescent="0.3">
      <c r="A8" s="1">
        <v>44920</v>
      </c>
      <c r="B8" s="16">
        <v>0</v>
      </c>
      <c r="C8" s="16">
        <v>-3</v>
      </c>
      <c r="D8" s="19">
        <v>-3.3879999999999999</v>
      </c>
      <c r="E8" s="4">
        <v>0</v>
      </c>
      <c r="F8" s="4">
        <v>14</v>
      </c>
      <c r="G8" s="4">
        <f t="shared" si="1"/>
        <v>14</v>
      </c>
      <c r="H8" s="6">
        <f t="shared" si="2"/>
        <v>-1</v>
      </c>
      <c r="I8" s="25">
        <f>ABS(D8-H8)</f>
        <v>2.3879999999999999</v>
      </c>
      <c r="J8" s="9">
        <v>0</v>
      </c>
      <c r="K8" s="9">
        <v>0</v>
      </c>
      <c r="L8" s="11">
        <f t="shared" si="0"/>
        <v>0</v>
      </c>
      <c r="M8" s="15">
        <f t="shared" si="3"/>
        <v>3.3879999999999999</v>
      </c>
      <c r="N8" s="28">
        <v>0</v>
      </c>
      <c r="O8" s="28">
        <v>-4</v>
      </c>
      <c r="P8" s="30">
        <f t="shared" si="4"/>
        <v>-4</v>
      </c>
      <c r="Q8" s="22">
        <f t="shared" si="5"/>
        <v>0.6120000000000001</v>
      </c>
    </row>
    <row r="9" spans="1:19" x14ac:dyDescent="0.3">
      <c r="A9" s="1">
        <v>44921</v>
      </c>
      <c r="B9" s="16">
        <v>0</v>
      </c>
      <c r="C9" s="16">
        <v>-33</v>
      </c>
      <c r="D9" s="19">
        <v>-33.167000000000002</v>
      </c>
      <c r="E9" s="4">
        <v>0</v>
      </c>
      <c r="F9" s="4">
        <v>-16</v>
      </c>
      <c r="G9" s="4">
        <f t="shared" si="1"/>
        <v>-16</v>
      </c>
      <c r="H9" s="6">
        <f t="shared" si="2"/>
        <v>-31</v>
      </c>
      <c r="I9" s="25">
        <f>ABS(D9-H9)</f>
        <v>2.1670000000000016</v>
      </c>
      <c r="J9" s="9">
        <v>0</v>
      </c>
      <c r="K9" s="9">
        <v>30</v>
      </c>
      <c r="L9" s="11">
        <f t="shared" si="0"/>
        <v>30</v>
      </c>
      <c r="M9" s="15">
        <f t="shared" si="3"/>
        <v>3.1670000000000016</v>
      </c>
      <c r="N9" s="28">
        <v>0</v>
      </c>
      <c r="O9" s="28">
        <v>-33</v>
      </c>
      <c r="P9" s="30">
        <f t="shared" si="4"/>
        <v>-33</v>
      </c>
      <c r="Q9" s="22">
        <f t="shared" si="5"/>
        <v>0.16700000000000159</v>
      </c>
    </row>
    <row r="10" spans="1:19" x14ac:dyDescent="0.3">
      <c r="A10" s="1">
        <v>44922</v>
      </c>
      <c r="B10" s="16">
        <v>-1</v>
      </c>
      <c r="C10" s="16">
        <v>-3</v>
      </c>
      <c r="D10" s="19">
        <v>-62.807000000000002</v>
      </c>
      <c r="E10" s="4">
        <v>0</v>
      </c>
      <c r="F10" s="4">
        <v>-46</v>
      </c>
      <c r="G10" s="4">
        <f t="shared" si="1"/>
        <v>-46</v>
      </c>
      <c r="H10" s="6">
        <f t="shared" si="2"/>
        <v>-61</v>
      </c>
      <c r="I10" s="25">
        <f>ABS(D10-H10)</f>
        <v>1.8070000000000022</v>
      </c>
      <c r="J10" s="9">
        <v>1</v>
      </c>
      <c r="K10" s="9">
        <v>0</v>
      </c>
      <c r="L10" s="11">
        <f t="shared" si="0"/>
        <v>60</v>
      </c>
      <c r="M10" s="15">
        <f t="shared" si="3"/>
        <v>2.8070000000000022</v>
      </c>
      <c r="N10" s="28">
        <v>-1</v>
      </c>
      <c r="O10" s="28">
        <v>-3</v>
      </c>
      <c r="P10" s="30">
        <f t="shared" si="4"/>
        <v>-63</v>
      </c>
      <c r="Q10" s="22">
        <f t="shared" si="5"/>
        <v>0.19299999999999784</v>
      </c>
    </row>
    <row r="11" spans="1:19" x14ac:dyDescent="0.3">
      <c r="A11" s="1">
        <v>44923</v>
      </c>
      <c r="B11" s="16">
        <v>-1</v>
      </c>
      <c r="C11" s="16">
        <v>-32</v>
      </c>
      <c r="D11" s="19">
        <v>-92.271000000000001</v>
      </c>
      <c r="E11" s="4">
        <v>-1</v>
      </c>
      <c r="F11" s="4">
        <v>-16</v>
      </c>
      <c r="G11" s="4">
        <f t="shared" si="1"/>
        <v>-76</v>
      </c>
      <c r="H11" s="6"/>
      <c r="I11" s="25"/>
      <c r="J11" s="9">
        <v>1</v>
      </c>
      <c r="K11" s="9">
        <v>29</v>
      </c>
      <c r="L11" s="11">
        <f t="shared" si="0"/>
        <v>89</v>
      </c>
      <c r="M11" s="15">
        <f t="shared" si="3"/>
        <v>3.2710000000000008</v>
      </c>
      <c r="N11" s="28">
        <v>-1</v>
      </c>
      <c r="O11" s="28">
        <v>-32</v>
      </c>
      <c r="P11" s="30">
        <f t="shared" si="4"/>
        <v>-92</v>
      </c>
      <c r="Q11" s="22"/>
    </row>
    <row r="12" spans="1:19" x14ac:dyDescent="0.3">
      <c r="B12" s="16"/>
      <c r="C12" s="16"/>
      <c r="D12" s="19"/>
      <c r="E12" s="4"/>
      <c r="F12" s="4"/>
      <c r="G12" s="4"/>
      <c r="H12" s="6"/>
      <c r="I12" s="25"/>
      <c r="J12" s="9"/>
      <c r="K12" s="9"/>
      <c r="L12" s="11"/>
      <c r="M12" s="15"/>
      <c r="N12" s="28"/>
      <c r="O12" s="28"/>
      <c r="P12" s="30"/>
      <c r="Q12" s="22"/>
    </row>
    <row r="13" spans="1:19" x14ac:dyDescent="0.3">
      <c r="B13" s="16"/>
      <c r="C13" s="16"/>
      <c r="D13" s="19"/>
      <c r="E13" s="4"/>
      <c r="F13" s="4"/>
      <c r="G13" s="4"/>
      <c r="H13" s="6"/>
      <c r="I13" s="25"/>
      <c r="J13" s="9"/>
      <c r="K13" s="9"/>
      <c r="L13" s="11"/>
      <c r="M13" s="15"/>
      <c r="N13" s="28"/>
      <c r="O13" s="28"/>
      <c r="P13" s="30"/>
      <c r="Q13" s="22"/>
    </row>
    <row r="14" spans="1:19" x14ac:dyDescent="0.3">
      <c r="A14" s="1">
        <v>44864</v>
      </c>
      <c r="B14" s="16">
        <v>16</v>
      </c>
      <c r="C14" s="16">
        <v>19</v>
      </c>
      <c r="D14" s="19">
        <v>978.61800000000005</v>
      </c>
      <c r="E14" s="4">
        <v>16</v>
      </c>
      <c r="F14" s="4">
        <v>19</v>
      </c>
      <c r="G14" s="4">
        <f t="shared" ref="G14:G20" si="6">E14*60+F14</f>
        <v>979</v>
      </c>
      <c r="H14" s="6">
        <f t="shared" ref="H14:H19" si="7">(G15+G14)/2</f>
        <v>980.5</v>
      </c>
      <c r="I14" s="25">
        <f>ABS(D14-H14)</f>
        <v>1.8819999999999482</v>
      </c>
      <c r="J14" s="9">
        <v>-16</v>
      </c>
      <c r="K14" s="9">
        <v>-22</v>
      </c>
      <c r="L14" s="11">
        <f t="shared" ref="L14:L20" si="8">J14*60+K14</f>
        <v>-982</v>
      </c>
      <c r="M14" s="15">
        <f>ABS(L14+D14)</f>
        <v>3.3819999999999482</v>
      </c>
      <c r="N14" s="28">
        <v>16</v>
      </c>
      <c r="O14" s="28">
        <v>23</v>
      </c>
      <c r="P14" s="30">
        <f t="shared" ref="P14:P20" si="9">N14*60+O14</f>
        <v>983</v>
      </c>
      <c r="Q14" s="22">
        <f t="shared" ref="Q14:Q19" si="10">ABS(P14-D14)</f>
        <v>4.3819999999999482</v>
      </c>
    </row>
    <row r="15" spans="1:19" x14ac:dyDescent="0.3">
      <c r="A15" s="1">
        <v>44865</v>
      </c>
      <c r="B15" s="16">
        <v>16</v>
      </c>
      <c r="C15" s="16">
        <v>21</v>
      </c>
      <c r="D15" s="19">
        <v>981.31700000000001</v>
      </c>
      <c r="E15" s="4">
        <v>16</v>
      </c>
      <c r="F15" s="4">
        <v>22</v>
      </c>
      <c r="G15" s="4">
        <f t="shared" si="6"/>
        <v>982</v>
      </c>
      <c r="H15" s="6">
        <f t="shared" si="7"/>
        <v>983</v>
      </c>
      <c r="I15" s="25">
        <f>ABS(D15-H15)</f>
        <v>1.6829999999999927</v>
      </c>
      <c r="J15" s="9">
        <v>-16</v>
      </c>
      <c r="K15" s="9">
        <v>-24</v>
      </c>
      <c r="L15" s="11">
        <f t="shared" si="8"/>
        <v>-984</v>
      </c>
      <c r="M15" s="15">
        <f t="shared" ref="M15:M20" si="11">ABS(L15+D15)</f>
        <v>2.6829999999999927</v>
      </c>
      <c r="N15" s="28">
        <v>16</v>
      </c>
      <c r="O15" s="28">
        <v>26</v>
      </c>
      <c r="P15" s="30">
        <f t="shared" si="9"/>
        <v>986</v>
      </c>
      <c r="Q15" s="22">
        <f t="shared" si="10"/>
        <v>4.6829999999999927</v>
      </c>
    </row>
    <row r="16" spans="1:19" x14ac:dyDescent="0.3">
      <c r="A16" s="1">
        <v>44866</v>
      </c>
      <c r="B16" s="16">
        <v>16</v>
      </c>
      <c r="C16" s="16">
        <v>23</v>
      </c>
      <c r="D16" s="19">
        <v>983.24599999999998</v>
      </c>
      <c r="E16" s="4">
        <v>16</v>
      </c>
      <c r="F16" s="4">
        <v>24</v>
      </c>
      <c r="G16" s="4">
        <f t="shared" si="6"/>
        <v>984</v>
      </c>
      <c r="H16" s="6">
        <f t="shared" si="7"/>
        <v>985</v>
      </c>
      <c r="I16" s="25">
        <f>ABS(D16-H16)</f>
        <v>1.7540000000000191</v>
      </c>
      <c r="J16" s="9">
        <v>-16</v>
      </c>
      <c r="K16" s="9">
        <v>-26</v>
      </c>
      <c r="L16" s="11">
        <f t="shared" si="8"/>
        <v>-986</v>
      </c>
      <c r="M16" s="15">
        <f t="shared" si="11"/>
        <v>2.7540000000000191</v>
      </c>
      <c r="N16" s="28">
        <v>16</v>
      </c>
      <c r="O16" s="28">
        <v>28</v>
      </c>
      <c r="P16" s="30">
        <f t="shared" si="9"/>
        <v>988</v>
      </c>
      <c r="Q16" s="22">
        <f t="shared" si="10"/>
        <v>4.7540000000000191</v>
      </c>
      <c r="S16" s="1"/>
    </row>
    <row r="17" spans="1:19" x14ac:dyDescent="0.3">
      <c r="A17" s="1">
        <v>44867</v>
      </c>
      <c r="B17" s="16">
        <v>16</v>
      </c>
      <c r="C17" s="16">
        <v>24</v>
      </c>
      <c r="D17" s="19">
        <v>984.39499999999998</v>
      </c>
      <c r="E17" s="4">
        <v>16</v>
      </c>
      <c r="F17" s="4">
        <v>26</v>
      </c>
      <c r="G17" s="4">
        <f t="shared" si="6"/>
        <v>986</v>
      </c>
      <c r="H17" s="6">
        <f t="shared" si="7"/>
        <v>986</v>
      </c>
      <c r="I17" s="25">
        <f>ABS(D17-H17)</f>
        <v>1.6050000000000182</v>
      </c>
      <c r="J17" s="9">
        <v>-16</v>
      </c>
      <c r="K17" s="9">
        <v>-27</v>
      </c>
      <c r="L17" s="11">
        <f t="shared" si="8"/>
        <v>-987</v>
      </c>
      <c r="M17" s="15">
        <f t="shared" si="11"/>
        <v>2.6050000000000182</v>
      </c>
      <c r="N17" s="28">
        <v>16</v>
      </c>
      <c r="O17" s="28">
        <v>29</v>
      </c>
      <c r="P17" s="30">
        <f t="shared" si="9"/>
        <v>989</v>
      </c>
      <c r="Q17" s="22">
        <f t="shared" si="10"/>
        <v>4.6050000000000182</v>
      </c>
      <c r="S17" s="36"/>
    </row>
    <row r="18" spans="1:19" x14ac:dyDescent="0.3">
      <c r="A18" s="1">
        <v>44868</v>
      </c>
      <c r="B18" s="16">
        <v>16</v>
      </c>
      <c r="C18" s="16">
        <v>25</v>
      </c>
      <c r="D18" s="19">
        <v>984.75400000000002</v>
      </c>
      <c r="E18" s="4">
        <v>16</v>
      </c>
      <c r="F18" s="4">
        <v>26</v>
      </c>
      <c r="G18" s="4">
        <f t="shared" si="6"/>
        <v>986</v>
      </c>
      <c r="H18" s="6">
        <f t="shared" si="7"/>
        <v>986</v>
      </c>
      <c r="I18" s="25">
        <f>ABS(D18-H18)</f>
        <v>1.2459999999999809</v>
      </c>
      <c r="J18" s="9">
        <v>-16</v>
      </c>
      <c r="K18" s="9">
        <v>-28</v>
      </c>
      <c r="L18" s="11">
        <f t="shared" si="8"/>
        <v>-988</v>
      </c>
      <c r="M18" s="15">
        <f t="shared" si="11"/>
        <v>3.2459999999999809</v>
      </c>
      <c r="N18" s="28">
        <v>16</v>
      </c>
      <c r="O18" s="28">
        <v>29</v>
      </c>
      <c r="P18" s="30">
        <f t="shared" si="9"/>
        <v>989</v>
      </c>
      <c r="Q18" s="22">
        <f t="shared" si="10"/>
        <v>4.2459999999999809</v>
      </c>
    </row>
    <row r="19" spans="1:19" x14ac:dyDescent="0.3">
      <c r="A19" s="1">
        <v>44869</v>
      </c>
      <c r="B19" s="16">
        <v>16</v>
      </c>
      <c r="C19" s="16">
        <v>24</v>
      </c>
      <c r="D19" s="19">
        <v>984.31500000000005</v>
      </c>
      <c r="E19" s="4">
        <v>16</v>
      </c>
      <c r="F19" s="4">
        <v>26</v>
      </c>
      <c r="G19" s="4">
        <f t="shared" si="6"/>
        <v>986</v>
      </c>
      <c r="H19" s="6">
        <f t="shared" si="7"/>
        <v>985.5</v>
      </c>
      <c r="I19" s="25">
        <f>ABS(D19-H19)</f>
        <v>1.1849999999999454</v>
      </c>
      <c r="J19" s="9">
        <v>-16</v>
      </c>
      <c r="K19" s="9">
        <v>-27</v>
      </c>
      <c r="L19" s="11">
        <f t="shared" si="8"/>
        <v>-987</v>
      </c>
      <c r="M19" s="15">
        <f t="shared" si="11"/>
        <v>2.6849999999999454</v>
      </c>
      <c r="N19" s="28">
        <v>16</v>
      </c>
      <c r="O19" s="28">
        <v>29</v>
      </c>
      <c r="P19" s="30">
        <f t="shared" si="9"/>
        <v>989</v>
      </c>
      <c r="Q19" s="22">
        <f t="shared" si="10"/>
        <v>4.6849999999999454</v>
      </c>
    </row>
    <row r="20" spans="1:19" x14ac:dyDescent="0.3">
      <c r="A20" s="1">
        <v>44870</v>
      </c>
      <c r="B20" s="16">
        <v>16</v>
      </c>
      <c r="C20" s="16">
        <v>23</v>
      </c>
      <c r="D20" s="19">
        <v>983.06600000000003</v>
      </c>
      <c r="E20" s="4">
        <v>16</v>
      </c>
      <c r="F20" s="4">
        <v>25</v>
      </c>
      <c r="G20" s="4">
        <f t="shared" si="6"/>
        <v>985</v>
      </c>
      <c r="H20" s="6"/>
      <c r="I20" s="25"/>
      <c r="J20" s="9">
        <v>-16</v>
      </c>
      <c r="K20" s="9">
        <v>-26</v>
      </c>
      <c r="L20" s="11">
        <f t="shared" si="8"/>
        <v>-986</v>
      </c>
      <c r="M20" s="15">
        <f t="shared" si="11"/>
        <v>2.9339999999999691</v>
      </c>
      <c r="N20" s="28">
        <v>16</v>
      </c>
      <c r="O20" s="28">
        <v>28</v>
      </c>
      <c r="P20" s="30">
        <f t="shared" si="9"/>
        <v>988</v>
      </c>
      <c r="Q20" s="22"/>
    </row>
  </sheetData>
  <mergeCells count="8">
    <mergeCell ref="B1:D1"/>
    <mergeCell ref="E1:H1"/>
    <mergeCell ref="J1:L1"/>
    <mergeCell ref="N1:P1"/>
    <mergeCell ref="B2:D2"/>
    <mergeCell ref="E2:H2"/>
    <mergeCell ref="J2:L2"/>
    <mergeCell ref="N2:P2"/>
  </mergeCells>
  <hyperlinks>
    <hyperlink ref="E1:G1" r:id="rId1" display="HM Nautical Almanac" xr:uid="{418393FC-6688-4FD6-A7B8-5E7C911AFB07}"/>
    <hyperlink ref="N1" r:id="rId2" xr:uid="{FC8109B3-28A9-49FD-B834-977F0D52C4BC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Hodgson</dc:creator>
  <cp:lastModifiedBy>Andrew Hodgson</cp:lastModifiedBy>
  <dcterms:created xsi:type="dcterms:W3CDTF">2022-07-05T04:31:14Z</dcterms:created>
  <dcterms:modified xsi:type="dcterms:W3CDTF">2022-10-22T21:42:46Z</dcterms:modified>
</cp:coreProperties>
</file>